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aintenance Wing\"/>
    </mc:Choice>
  </mc:AlternateContent>
  <xr:revisionPtr revIDLastSave="0" documentId="13_ncr:1_{E1F1E7A7-8C80-4086-B102-E78A7BAF218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AT - 1" sheetId="2" r:id="rId1"/>
    <sheet name="CAT - 2" sheetId="1" r:id="rId2"/>
    <sheet name="CAT-3" sheetId="15" r:id="rId3"/>
    <sheet name="Summary" sheetId="16" r:id="rId4"/>
  </sheets>
  <definedNames>
    <definedName name="_xlnm._FilterDatabase" localSheetId="0" hidden="1">'CAT - 1'!$A$1:$R$119</definedName>
    <definedName name="_xlnm._FilterDatabase" localSheetId="1" hidden="1">'CAT - 2'!$A$1:$T$180</definedName>
    <definedName name="_xlnm._FilterDatabase" localSheetId="2" hidden="1">'CAT-3'!$A$1:$R$294</definedName>
    <definedName name="_xlnm.Print_Area" localSheetId="0">'CAT - 1'!$A$1:$R$118</definedName>
    <definedName name="_xlnm.Print_Area" localSheetId="1">'CAT - 2'!$A$1:$R$179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15" l="1"/>
  <c r="M11" i="1"/>
  <c r="L20" i="15"/>
  <c r="N294" i="15"/>
  <c r="N293" i="15"/>
  <c r="N292" i="15"/>
  <c r="N291" i="15"/>
  <c r="N290" i="15"/>
  <c r="N289" i="15"/>
  <c r="N288" i="15"/>
  <c r="N287" i="15"/>
  <c r="N286" i="15"/>
  <c r="N285" i="15"/>
  <c r="N284" i="15"/>
  <c r="N283" i="15"/>
  <c r="N282" i="15"/>
  <c r="N281" i="15"/>
  <c r="N280" i="15"/>
  <c r="N279" i="15"/>
  <c r="N278" i="15"/>
  <c r="N277" i="15"/>
  <c r="N276" i="15"/>
  <c r="N275" i="15"/>
  <c r="N274" i="15"/>
  <c r="N273" i="15"/>
  <c r="N272" i="15"/>
  <c r="N271" i="15"/>
  <c r="N270" i="15"/>
  <c r="N269" i="15"/>
  <c r="N268" i="15"/>
  <c r="N267" i="15"/>
  <c r="N266" i="15"/>
  <c r="N265" i="15"/>
  <c r="N264" i="15"/>
  <c r="N263" i="15"/>
  <c r="N262" i="15"/>
  <c r="N261" i="15"/>
  <c r="N260" i="15"/>
  <c r="N259" i="15"/>
  <c r="N258" i="15"/>
  <c r="N257" i="15"/>
  <c r="N256" i="15"/>
  <c r="N255" i="15"/>
  <c r="N254" i="15"/>
  <c r="N253" i="15"/>
  <c r="N252" i="15"/>
  <c r="N251" i="15"/>
  <c r="N250" i="15"/>
  <c r="N249" i="15"/>
  <c r="N248" i="15"/>
  <c r="N247" i="15"/>
  <c r="N246" i="15"/>
  <c r="N245" i="15"/>
  <c r="N244" i="15"/>
  <c r="N243" i="15"/>
  <c r="N242" i="15"/>
  <c r="N241" i="15"/>
  <c r="N240" i="15"/>
  <c r="N239" i="15"/>
  <c r="N238" i="15"/>
  <c r="N237" i="15"/>
  <c r="N236" i="15"/>
  <c r="N235" i="15"/>
  <c r="N234" i="15"/>
  <c r="N233" i="15"/>
  <c r="N232" i="15"/>
  <c r="N231" i="15"/>
  <c r="N230" i="15"/>
  <c r="N229" i="15"/>
  <c r="N228" i="15"/>
  <c r="N227" i="15"/>
  <c r="N226" i="15"/>
  <c r="N225" i="15"/>
  <c r="N224" i="15"/>
  <c r="N223" i="15"/>
  <c r="N222" i="15"/>
  <c r="N221" i="15"/>
  <c r="N220" i="15"/>
  <c r="N219" i="15"/>
  <c r="N218" i="15"/>
  <c r="N217" i="15"/>
  <c r="N216" i="15"/>
  <c r="N215" i="15"/>
  <c r="N214" i="15"/>
  <c r="N213" i="15"/>
  <c r="N212" i="15"/>
  <c r="N211" i="15"/>
  <c r="N210" i="15"/>
  <c r="N209" i="15"/>
  <c r="N208" i="15"/>
  <c r="N207" i="15"/>
  <c r="N206" i="15"/>
  <c r="N205" i="15"/>
  <c r="N204" i="15"/>
  <c r="N203" i="15"/>
  <c r="N202" i="15"/>
  <c r="N201" i="15"/>
  <c r="N200" i="15"/>
  <c r="N199" i="15"/>
  <c r="N198" i="15"/>
  <c r="N197" i="15"/>
  <c r="N196" i="15"/>
  <c r="N195" i="15"/>
  <c r="N194" i="15"/>
  <c r="N193" i="15"/>
  <c r="N192" i="15"/>
  <c r="N191" i="15"/>
  <c r="N190" i="15"/>
  <c r="N189" i="15"/>
  <c r="N188" i="15"/>
  <c r="N187" i="15"/>
  <c r="N186" i="15"/>
  <c r="N185" i="15"/>
  <c r="N184" i="15"/>
  <c r="N183" i="15"/>
  <c r="N182" i="15"/>
  <c r="N181" i="15"/>
  <c r="N180" i="15"/>
  <c r="N179" i="15"/>
  <c r="N178" i="15"/>
  <c r="N177" i="15"/>
  <c r="N176" i="15"/>
  <c r="N175" i="15"/>
  <c r="N174" i="15"/>
  <c r="N173" i="15"/>
  <c r="N172" i="15"/>
  <c r="N171" i="15"/>
  <c r="N170" i="15"/>
  <c r="N169" i="15"/>
  <c r="N168" i="15"/>
  <c r="N167" i="15"/>
  <c r="N166" i="15"/>
  <c r="N165" i="15"/>
  <c r="N164" i="15"/>
  <c r="N163" i="15"/>
  <c r="N162" i="15"/>
  <c r="N161" i="15"/>
  <c r="N160" i="15"/>
  <c r="N159" i="15"/>
  <c r="N158" i="15"/>
  <c r="N157" i="15"/>
  <c r="N156" i="15"/>
  <c r="N155" i="15"/>
  <c r="N154" i="15"/>
  <c r="N153" i="15"/>
  <c r="N152" i="15"/>
  <c r="N151" i="15"/>
  <c r="N150" i="15"/>
  <c r="N149" i="15"/>
  <c r="N148" i="15"/>
  <c r="N147" i="15"/>
  <c r="N146" i="15"/>
  <c r="N145" i="15"/>
  <c r="N144" i="15"/>
  <c r="N143" i="15"/>
  <c r="N142" i="15"/>
  <c r="N141" i="15"/>
  <c r="N140" i="15"/>
  <c r="N139" i="15"/>
  <c r="N138" i="15"/>
  <c r="N137" i="15"/>
  <c r="N136" i="15"/>
  <c r="N135" i="15"/>
  <c r="N134" i="15"/>
  <c r="N133" i="15"/>
  <c r="N132" i="15"/>
  <c r="N131" i="15"/>
  <c r="N130" i="15"/>
  <c r="N129" i="15"/>
  <c r="N128" i="15"/>
  <c r="N127" i="15"/>
  <c r="N126" i="15"/>
  <c r="N125" i="15"/>
  <c r="N124" i="15"/>
  <c r="N123" i="15"/>
  <c r="N122" i="15"/>
  <c r="N121" i="15"/>
  <c r="N120" i="15"/>
  <c r="N119" i="15"/>
  <c r="N118" i="15"/>
  <c r="N117" i="15"/>
  <c r="N116" i="15"/>
  <c r="N115" i="15"/>
  <c r="N114" i="15"/>
  <c r="N113" i="15"/>
  <c r="N112" i="15"/>
  <c r="N111" i="15"/>
  <c r="N110" i="15"/>
  <c r="N109" i="15"/>
  <c r="N108" i="15"/>
  <c r="N107" i="15"/>
  <c r="N106" i="15"/>
  <c r="N105" i="15"/>
  <c r="N104" i="15"/>
  <c r="N103" i="15"/>
  <c r="N102" i="15"/>
  <c r="N101" i="15"/>
  <c r="N100" i="15"/>
  <c r="N99" i="15"/>
  <c r="N98" i="15"/>
  <c r="N97" i="15"/>
  <c r="N96" i="15"/>
  <c r="N95" i="15"/>
  <c r="N94" i="15"/>
  <c r="N93" i="15"/>
  <c r="N92" i="15"/>
  <c r="N91" i="15"/>
  <c r="N90" i="15"/>
  <c r="N89" i="15"/>
  <c r="N88" i="15"/>
  <c r="N87" i="15"/>
  <c r="N86" i="15"/>
  <c r="N85" i="15"/>
  <c r="N84" i="15"/>
  <c r="N83" i="15"/>
  <c r="N82" i="15"/>
  <c r="N81" i="15"/>
  <c r="N80" i="15"/>
  <c r="N79" i="15"/>
  <c r="N78" i="15"/>
  <c r="N77" i="15"/>
  <c r="N76" i="15"/>
  <c r="N75" i="15"/>
  <c r="N74" i="15"/>
  <c r="N73" i="15"/>
  <c r="N72" i="15"/>
  <c r="N71" i="15"/>
  <c r="N70" i="15"/>
  <c r="N69" i="15"/>
  <c r="N68" i="15"/>
  <c r="N67" i="15"/>
  <c r="N66" i="15"/>
  <c r="N65" i="15"/>
  <c r="N64" i="15"/>
  <c r="N63" i="15"/>
  <c r="N62" i="15"/>
  <c r="N61" i="15"/>
  <c r="N60" i="15"/>
  <c r="N59" i="15"/>
  <c r="N58" i="15"/>
  <c r="N57" i="15"/>
  <c r="N56" i="15"/>
  <c r="N55" i="15"/>
  <c r="N54" i="15"/>
  <c r="N53" i="15"/>
  <c r="N52" i="15"/>
  <c r="N51" i="15"/>
  <c r="N50" i="15"/>
  <c r="N49" i="15"/>
  <c r="N48" i="15"/>
  <c r="N47" i="15"/>
  <c r="N46" i="15"/>
  <c r="N45" i="15"/>
  <c r="N44" i="15"/>
  <c r="N43" i="15"/>
  <c r="N42" i="15"/>
  <c r="N41" i="15"/>
  <c r="N40" i="15"/>
  <c r="N39" i="15"/>
  <c r="N38" i="15"/>
  <c r="N37" i="15"/>
  <c r="N36" i="15"/>
  <c r="N35" i="15"/>
  <c r="N34" i="15"/>
  <c r="N33" i="15"/>
  <c r="N32" i="15"/>
  <c r="N31" i="15"/>
  <c r="N30" i="15"/>
  <c r="N29" i="15"/>
  <c r="N28" i="15"/>
  <c r="N27" i="15"/>
  <c r="N26" i="15"/>
  <c r="N25" i="15"/>
  <c r="N24" i="15"/>
  <c r="N23" i="15"/>
  <c r="N22" i="15"/>
  <c r="N21" i="15"/>
  <c r="N19" i="15"/>
  <c r="N18" i="15"/>
  <c r="N17" i="15"/>
  <c r="N16" i="15"/>
  <c r="N15" i="15"/>
  <c r="N14" i="15"/>
  <c r="N13" i="15"/>
  <c r="N12" i="15"/>
  <c r="N11" i="15"/>
  <c r="N10" i="15"/>
  <c r="N9" i="15"/>
  <c r="N8" i="15"/>
  <c r="N7" i="15"/>
  <c r="N6" i="15"/>
  <c r="N5" i="15"/>
  <c r="N4" i="15"/>
  <c r="N3" i="15"/>
  <c r="N2" i="15"/>
  <c r="L294" i="15"/>
  <c r="L293" i="15"/>
  <c r="L292" i="15"/>
  <c r="L291" i="15"/>
  <c r="L290" i="15"/>
  <c r="L289" i="15"/>
  <c r="L288" i="15"/>
  <c r="L287" i="15"/>
  <c r="L286" i="15"/>
  <c r="L285" i="15"/>
  <c r="L284" i="15"/>
  <c r="L283" i="15"/>
  <c r="L282" i="15"/>
  <c r="L281" i="15"/>
  <c r="L280" i="15"/>
  <c r="L279" i="15"/>
  <c r="L278" i="15"/>
  <c r="L277" i="15"/>
  <c r="L276" i="15"/>
  <c r="L275" i="15"/>
  <c r="L274" i="15"/>
  <c r="L273" i="15"/>
  <c r="L272" i="15"/>
  <c r="L271" i="15"/>
  <c r="L270" i="15"/>
  <c r="L269" i="15"/>
  <c r="L268" i="15"/>
  <c r="L267" i="15"/>
  <c r="L266" i="15"/>
  <c r="L265" i="15"/>
  <c r="L264" i="15"/>
  <c r="L263" i="15"/>
  <c r="L262" i="15"/>
  <c r="L261" i="15"/>
  <c r="L260" i="15"/>
  <c r="L259" i="15"/>
  <c r="L258" i="15"/>
  <c r="L257" i="15"/>
  <c r="L256" i="15"/>
  <c r="L255" i="15"/>
  <c r="L254" i="15"/>
  <c r="L253" i="15"/>
  <c r="L252" i="15"/>
  <c r="L251" i="15"/>
  <c r="L250" i="15"/>
  <c r="L249" i="15"/>
  <c r="L248" i="15"/>
  <c r="L247" i="15"/>
  <c r="L246" i="15"/>
  <c r="L245" i="15"/>
  <c r="L244" i="15"/>
  <c r="L243" i="15"/>
  <c r="L242" i="15"/>
  <c r="L241" i="15"/>
  <c r="L240" i="15"/>
  <c r="L239" i="15"/>
  <c r="L238" i="15"/>
  <c r="L237" i="15"/>
  <c r="L236" i="15"/>
  <c r="L235" i="15"/>
  <c r="L234" i="15"/>
  <c r="L233" i="15"/>
  <c r="L232" i="15"/>
  <c r="L231" i="15"/>
  <c r="L230" i="15"/>
  <c r="L229" i="15"/>
  <c r="L228" i="15"/>
  <c r="L227" i="15"/>
  <c r="L226" i="15"/>
  <c r="L225" i="15"/>
  <c r="L224" i="15"/>
  <c r="L223" i="15"/>
  <c r="L222" i="15"/>
  <c r="L221" i="15"/>
  <c r="L220" i="15"/>
  <c r="L219" i="15"/>
  <c r="L218" i="15"/>
  <c r="L217" i="15"/>
  <c r="L216" i="15"/>
  <c r="L215" i="15"/>
  <c r="L214" i="15"/>
  <c r="L213" i="15"/>
  <c r="L212" i="15"/>
  <c r="L211" i="15"/>
  <c r="L210" i="15"/>
  <c r="L209" i="15"/>
  <c r="L208" i="15"/>
  <c r="L207" i="15"/>
  <c r="L206" i="15"/>
  <c r="L205" i="15"/>
  <c r="L204" i="15"/>
  <c r="L203" i="15"/>
  <c r="L202" i="15"/>
  <c r="L201" i="15"/>
  <c r="M201" i="15" s="1"/>
  <c r="L200" i="15"/>
  <c r="M200" i="15" s="1"/>
  <c r="L199" i="15"/>
  <c r="L198" i="15"/>
  <c r="M198" i="15" s="1"/>
  <c r="L197" i="15"/>
  <c r="L196" i="15"/>
  <c r="L195" i="15"/>
  <c r="L194" i="15"/>
  <c r="M194" i="15" s="1"/>
  <c r="L193" i="15"/>
  <c r="L192" i="15"/>
  <c r="L191" i="15"/>
  <c r="L190" i="15"/>
  <c r="L189" i="15"/>
  <c r="L188" i="15"/>
  <c r="M188" i="15" s="1"/>
  <c r="L187" i="15"/>
  <c r="M187" i="15" s="1"/>
  <c r="L186" i="15"/>
  <c r="L185" i="15"/>
  <c r="M185" i="15" s="1"/>
  <c r="L184" i="15"/>
  <c r="M184" i="15" s="1"/>
  <c r="L183" i="15"/>
  <c r="L182" i="15"/>
  <c r="L181" i="15"/>
  <c r="M181" i="15" s="1"/>
  <c r="L180" i="15"/>
  <c r="L179" i="15"/>
  <c r="L178" i="15"/>
  <c r="L177" i="15"/>
  <c r="M177" i="15" s="1"/>
  <c r="L176" i="15"/>
  <c r="L175" i="15"/>
  <c r="L174" i="15"/>
  <c r="L173" i="15"/>
  <c r="L172" i="15"/>
  <c r="M172" i="15" s="1"/>
  <c r="L171" i="15"/>
  <c r="M171" i="15" s="1"/>
  <c r="L170" i="15"/>
  <c r="M170" i="15" s="1"/>
  <c r="L169" i="15"/>
  <c r="M169" i="15" s="1"/>
  <c r="L168" i="15"/>
  <c r="M168" i="15" s="1"/>
  <c r="L167" i="15"/>
  <c r="L166" i="15"/>
  <c r="L165" i="15"/>
  <c r="L164" i="15"/>
  <c r="L163" i="15"/>
  <c r="L162" i="15"/>
  <c r="L161" i="15"/>
  <c r="M161" i="15" s="1"/>
  <c r="L160" i="15"/>
  <c r="L159" i="15"/>
  <c r="L158" i="15"/>
  <c r="L157" i="15"/>
  <c r="L156" i="15"/>
  <c r="M156" i="15" s="1"/>
  <c r="L155" i="15"/>
  <c r="M155" i="15" s="1"/>
  <c r="L154" i="15"/>
  <c r="M154" i="15" s="1"/>
  <c r="L153" i="15"/>
  <c r="M153" i="15" s="1"/>
  <c r="L152" i="15"/>
  <c r="M152" i="15" s="1"/>
  <c r="L151" i="15"/>
  <c r="L150" i="15"/>
  <c r="L149" i="15"/>
  <c r="L148" i="15"/>
  <c r="L147" i="15"/>
  <c r="L146" i="15"/>
  <c r="L145" i="15"/>
  <c r="L144" i="15"/>
  <c r="L143" i="15"/>
  <c r="L142" i="15"/>
  <c r="L141" i="15"/>
  <c r="L140" i="15"/>
  <c r="L139" i="15"/>
  <c r="M139" i="15" s="1"/>
  <c r="L138" i="15"/>
  <c r="M138" i="15" s="1"/>
  <c r="L137" i="15"/>
  <c r="M137" i="15" s="1"/>
  <c r="L136" i="15"/>
  <c r="M136" i="15" s="1"/>
  <c r="L135" i="15"/>
  <c r="L134" i="15"/>
  <c r="L133" i="15"/>
  <c r="L132" i="15"/>
  <c r="L131" i="15"/>
  <c r="L130" i="15"/>
  <c r="M130" i="15" s="1"/>
  <c r="L129" i="15"/>
  <c r="M129" i="15" s="1"/>
  <c r="L128" i="15"/>
  <c r="L127" i="15"/>
  <c r="L126" i="15"/>
  <c r="L125" i="15"/>
  <c r="L124" i="15"/>
  <c r="L123" i="15"/>
  <c r="M123" i="15" s="1"/>
  <c r="L122" i="15"/>
  <c r="M122" i="15" s="1"/>
  <c r="L121" i="15"/>
  <c r="M121" i="15" s="1"/>
  <c r="L120" i="15"/>
  <c r="M120" i="15" s="1"/>
  <c r="L119" i="15"/>
  <c r="L118" i="15"/>
  <c r="M118" i="15" s="1"/>
  <c r="L117" i="15"/>
  <c r="M117" i="15" s="1"/>
  <c r="L116" i="15"/>
  <c r="L115" i="15"/>
  <c r="L114" i="15"/>
  <c r="L113" i="15"/>
  <c r="L112" i="15"/>
  <c r="L111" i="15"/>
  <c r="L110" i="15"/>
  <c r="L109" i="15"/>
  <c r="L108" i="15"/>
  <c r="M108" i="15" s="1"/>
  <c r="L107" i="15"/>
  <c r="L106" i="15"/>
  <c r="L105" i="15"/>
  <c r="M105" i="15" s="1"/>
  <c r="L104" i="15"/>
  <c r="M104" i="15" s="1"/>
  <c r="L103" i="15"/>
  <c r="L102" i="15"/>
  <c r="M102" i="15" s="1"/>
  <c r="L101" i="15"/>
  <c r="M101" i="15" s="1"/>
  <c r="L100" i="15"/>
  <c r="L99" i="15"/>
  <c r="L98" i="15"/>
  <c r="L97" i="15"/>
  <c r="L96" i="15"/>
  <c r="L95" i="15"/>
  <c r="L94" i="15"/>
  <c r="L93" i="15"/>
  <c r="L92" i="15"/>
  <c r="M92" i="15" s="1"/>
  <c r="L91" i="15"/>
  <c r="L90" i="15"/>
  <c r="M90" i="15" s="1"/>
  <c r="L89" i="15"/>
  <c r="M89" i="15" s="1"/>
  <c r="L88" i="15"/>
  <c r="M88" i="15" s="1"/>
  <c r="L87" i="15"/>
  <c r="L86" i="15"/>
  <c r="L85" i="15"/>
  <c r="M85" i="15" s="1"/>
  <c r="L84" i="15"/>
  <c r="M84" i="15" s="1"/>
  <c r="L83" i="15"/>
  <c r="L82" i="15"/>
  <c r="L81" i="15"/>
  <c r="M81" i="15" s="1"/>
  <c r="L80" i="15"/>
  <c r="L79" i="15"/>
  <c r="L78" i="15"/>
  <c r="L77" i="15"/>
  <c r="L76" i="15"/>
  <c r="L75" i="15"/>
  <c r="L74" i="15"/>
  <c r="M74" i="15" s="1"/>
  <c r="L73" i="15"/>
  <c r="M73" i="15" s="1"/>
  <c r="L72" i="15"/>
  <c r="M72" i="15" s="1"/>
  <c r="L71" i="15"/>
  <c r="L70" i="15"/>
  <c r="L69" i="15"/>
  <c r="M69" i="15" s="1"/>
  <c r="L68" i="15"/>
  <c r="M68" i="15" s="1"/>
  <c r="L67" i="15"/>
  <c r="L66" i="15"/>
  <c r="M66" i="15" s="1"/>
  <c r="L65" i="15"/>
  <c r="M65" i="15" s="1"/>
  <c r="L64" i="15"/>
  <c r="L63" i="15"/>
  <c r="L62" i="15"/>
  <c r="L61" i="15"/>
  <c r="L60" i="15"/>
  <c r="L59" i="15"/>
  <c r="L58" i="15"/>
  <c r="M58" i="15" s="1"/>
  <c r="L57" i="15"/>
  <c r="M57" i="15" s="1"/>
  <c r="L56" i="15"/>
  <c r="M56" i="15" s="1"/>
  <c r="L55" i="15"/>
  <c r="L54" i="15"/>
  <c r="L53" i="15"/>
  <c r="M53" i="15" s="1"/>
  <c r="L52" i="15"/>
  <c r="M52" i="15" s="1"/>
  <c r="L51" i="15"/>
  <c r="L50" i="15"/>
  <c r="M50" i="15" s="1"/>
  <c r="L49" i="15"/>
  <c r="M49" i="15" s="1"/>
  <c r="L48" i="15"/>
  <c r="L47" i="15"/>
  <c r="L46" i="15"/>
  <c r="L45" i="15"/>
  <c r="L44" i="15"/>
  <c r="L43" i="15"/>
  <c r="M43" i="15" s="1"/>
  <c r="L42" i="15"/>
  <c r="M42" i="15" s="1"/>
  <c r="L41" i="15"/>
  <c r="M41" i="15" s="1"/>
  <c r="L40" i="15"/>
  <c r="M40" i="15" s="1"/>
  <c r="L39" i="15"/>
  <c r="L38" i="15"/>
  <c r="L37" i="15"/>
  <c r="M37" i="15" s="1"/>
  <c r="L36" i="15"/>
  <c r="M36" i="15" s="1"/>
  <c r="L35" i="15"/>
  <c r="L34" i="15"/>
  <c r="M34" i="15" s="1"/>
  <c r="L33" i="15"/>
  <c r="M33" i="15" s="1"/>
  <c r="L32" i="15"/>
  <c r="L31" i="15"/>
  <c r="L30" i="15"/>
  <c r="L29" i="15"/>
  <c r="L28" i="15"/>
  <c r="M28" i="15" s="1"/>
  <c r="L27" i="15"/>
  <c r="L26" i="15"/>
  <c r="L25" i="15"/>
  <c r="M25" i="15" s="1"/>
  <c r="L24" i="15"/>
  <c r="M24" i="15" s="1"/>
  <c r="L23" i="15"/>
  <c r="L22" i="15"/>
  <c r="M22" i="15" s="1"/>
  <c r="L21" i="15"/>
  <c r="M21" i="15" s="1"/>
  <c r="L19" i="15"/>
  <c r="L18" i="15"/>
  <c r="M18" i="15" s="1"/>
  <c r="L17" i="15"/>
  <c r="M17" i="15" s="1"/>
  <c r="L16" i="15"/>
  <c r="M16" i="15" s="1"/>
  <c r="L15" i="15"/>
  <c r="L14" i="15"/>
  <c r="L13" i="15"/>
  <c r="L12" i="15"/>
  <c r="L11" i="15"/>
  <c r="L10" i="15"/>
  <c r="L9" i="15"/>
  <c r="M9" i="15" s="1"/>
  <c r="L8" i="15"/>
  <c r="M8" i="15" s="1"/>
  <c r="L7" i="15"/>
  <c r="L6" i="15"/>
  <c r="L5" i="15"/>
  <c r="M5" i="15" s="1"/>
  <c r="L4" i="15"/>
  <c r="L3" i="15"/>
  <c r="L2" i="15"/>
  <c r="L179" i="1"/>
  <c r="M179" i="1" s="1"/>
  <c r="N179" i="1" s="1"/>
  <c r="L178" i="1"/>
  <c r="M178" i="1" s="1"/>
  <c r="N178" i="1" s="1"/>
  <c r="L177" i="1"/>
  <c r="M177" i="1" s="1"/>
  <c r="L176" i="1"/>
  <c r="M176" i="1" s="1"/>
  <c r="N176" i="1" s="1"/>
  <c r="L175" i="1"/>
  <c r="M175" i="1" s="1"/>
  <c r="L174" i="1"/>
  <c r="M174" i="1" s="1"/>
  <c r="L173" i="1"/>
  <c r="M173" i="1" s="1"/>
  <c r="N173" i="1" s="1"/>
  <c r="L172" i="1"/>
  <c r="M172" i="1" s="1"/>
  <c r="N172" i="1" s="1"/>
  <c r="L171" i="1"/>
  <c r="M171" i="1" s="1"/>
  <c r="N171" i="1" s="1"/>
  <c r="L170" i="1"/>
  <c r="M170" i="1" s="1"/>
  <c r="N170" i="1" s="1"/>
  <c r="L169" i="1"/>
  <c r="M169" i="1" s="1"/>
  <c r="L168" i="1"/>
  <c r="M168" i="1" s="1"/>
  <c r="N168" i="1" s="1"/>
  <c r="L167" i="1"/>
  <c r="M167" i="1" s="1"/>
  <c r="N167" i="1" s="1"/>
  <c r="L166" i="1"/>
  <c r="M166" i="1" s="1"/>
  <c r="N166" i="1" s="1"/>
  <c r="L165" i="1"/>
  <c r="M165" i="1" s="1"/>
  <c r="N165" i="1" s="1"/>
  <c r="L164" i="1"/>
  <c r="M164" i="1" s="1"/>
  <c r="L163" i="1"/>
  <c r="M163" i="1" s="1"/>
  <c r="N163" i="1" s="1"/>
  <c r="L162" i="1"/>
  <c r="M162" i="1" s="1"/>
  <c r="L161" i="1"/>
  <c r="M161" i="1" s="1"/>
  <c r="N161" i="1" s="1"/>
  <c r="L160" i="1"/>
  <c r="M160" i="1" s="1"/>
  <c r="N160" i="1" s="1"/>
  <c r="L159" i="1"/>
  <c r="M159" i="1" s="1"/>
  <c r="N159" i="1" s="1"/>
  <c r="L158" i="1"/>
  <c r="M158" i="1" s="1"/>
  <c r="N158" i="1" s="1"/>
  <c r="L157" i="1"/>
  <c r="M157" i="1" s="1"/>
  <c r="N157" i="1" s="1"/>
  <c r="L156" i="1"/>
  <c r="L155" i="1"/>
  <c r="M155" i="1" s="1"/>
  <c r="N155" i="1" s="1"/>
  <c r="L154" i="1"/>
  <c r="M154" i="1" s="1"/>
  <c r="N154" i="1" s="1"/>
  <c r="L153" i="1"/>
  <c r="M153" i="1" s="1"/>
  <c r="L152" i="1"/>
  <c r="M152" i="1" s="1"/>
  <c r="N152" i="1" s="1"/>
  <c r="L151" i="1"/>
  <c r="M151" i="1" s="1"/>
  <c r="N151" i="1" s="1"/>
  <c r="L150" i="1"/>
  <c r="M150" i="1" s="1"/>
  <c r="N150" i="1" s="1"/>
  <c r="L149" i="1"/>
  <c r="M149" i="1" s="1"/>
  <c r="N149" i="1" s="1"/>
  <c r="L148" i="1"/>
  <c r="M148" i="1" s="1"/>
  <c r="N148" i="1" s="1"/>
  <c r="L147" i="1"/>
  <c r="M147" i="1" s="1"/>
  <c r="N147" i="1" s="1"/>
  <c r="L146" i="1"/>
  <c r="M146" i="1" s="1"/>
  <c r="N146" i="1" s="1"/>
  <c r="L145" i="1"/>
  <c r="M145" i="1" s="1"/>
  <c r="N145" i="1" s="1"/>
  <c r="L144" i="1"/>
  <c r="M144" i="1" s="1"/>
  <c r="N144" i="1" s="1"/>
  <c r="L143" i="1"/>
  <c r="M143" i="1" s="1"/>
  <c r="L142" i="1"/>
  <c r="M142" i="1" s="1"/>
  <c r="N142" i="1" s="1"/>
  <c r="L141" i="1"/>
  <c r="M141" i="1" s="1"/>
  <c r="N141" i="1" s="1"/>
  <c r="L140" i="1"/>
  <c r="M140" i="1" s="1"/>
  <c r="N140" i="1" s="1"/>
  <c r="L139" i="1"/>
  <c r="M139" i="1" s="1"/>
  <c r="N139" i="1" s="1"/>
  <c r="L138" i="1"/>
  <c r="M138" i="1" s="1"/>
  <c r="N138" i="1" s="1"/>
  <c r="L137" i="1"/>
  <c r="M137" i="1" s="1"/>
  <c r="N137" i="1" s="1"/>
  <c r="L136" i="1"/>
  <c r="M136" i="1" s="1"/>
  <c r="N136" i="1" s="1"/>
  <c r="L135" i="1"/>
  <c r="M135" i="1" s="1"/>
  <c r="N135" i="1" s="1"/>
  <c r="L134" i="1"/>
  <c r="M134" i="1" s="1"/>
  <c r="L133" i="1"/>
  <c r="M133" i="1" s="1"/>
  <c r="N133" i="1" s="1"/>
  <c r="L132" i="1"/>
  <c r="M132" i="1" s="1"/>
  <c r="L131" i="1"/>
  <c r="M131" i="1" s="1"/>
  <c r="N131" i="1" s="1"/>
  <c r="L130" i="1"/>
  <c r="M130" i="1" s="1"/>
  <c r="N130" i="1" s="1"/>
  <c r="L129" i="1"/>
  <c r="M129" i="1" s="1"/>
  <c r="N129" i="1" s="1"/>
  <c r="L128" i="1"/>
  <c r="M128" i="1" s="1"/>
  <c r="N128" i="1" s="1"/>
  <c r="L127" i="1"/>
  <c r="M127" i="1" s="1"/>
  <c r="L126" i="1"/>
  <c r="M126" i="1" s="1"/>
  <c r="L125" i="1"/>
  <c r="M125" i="1" s="1"/>
  <c r="N125" i="1" s="1"/>
  <c r="L124" i="1"/>
  <c r="M124" i="1" s="1"/>
  <c r="N124" i="1" s="1"/>
  <c r="L123" i="1"/>
  <c r="M123" i="1" s="1"/>
  <c r="L122" i="1"/>
  <c r="M122" i="1" s="1"/>
  <c r="N122" i="1" s="1"/>
  <c r="L121" i="1"/>
  <c r="M121" i="1" s="1"/>
  <c r="N121" i="1" s="1"/>
  <c r="L120" i="1"/>
  <c r="M120" i="1" s="1"/>
  <c r="N120" i="1" s="1"/>
  <c r="L119" i="1"/>
  <c r="M119" i="1" s="1"/>
  <c r="N119" i="1" s="1"/>
  <c r="L118" i="1"/>
  <c r="M118" i="1" s="1"/>
  <c r="N118" i="1" s="1"/>
  <c r="L117" i="1"/>
  <c r="M117" i="1" s="1"/>
  <c r="N117" i="1" s="1"/>
  <c r="L116" i="1"/>
  <c r="M116" i="1" s="1"/>
  <c r="N116" i="1" s="1"/>
  <c r="L115" i="1"/>
  <c r="M115" i="1" s="1"/>
  <c r="N115" i="1" s="1"/>
  <c r="L114" i="1"/>
  <c r="M114" i="1" s="1"/>
  <c r="N114" i="1" s="1"/>
  <c r="L113" i="1"/>
  <c r="M113" i="1" s="1"/>
  <c r="N113" i="1" s="1"/>
  <c r="L112" i="1"/>
  <c r="M112" i="1" s="1"/>
  <c r="L111" i="1"/>
  <c r="M111" i="1" s="1"/>
  <c r="N111" i="1" s="1"/>
  <c r="L110" i="1"/>
  <c r="M110" i="1" s="1"/>
  <c r="L109" i="1"/>
  <c r="M109" i="1" s="1"/>
  <c r="L108" i="1"/>
  <c r="M108" i="1" s="1"/>
  <c r="L107" i="1"/>
  <c r="M107" i="1" s="1"/>
  <c r="N107" i="1" s="1"/>
  <c r="L106" i="1"/>
  <c r="M106" i="1" s="1"/>
  <c r="N106" i="1" s="1"/>
  <c r="L105" i="1"/>
  <c r="M105" i="1" s="1"/>
  <c r="N105" i="1" s="1"/>
  <c r="L104" i="1"/>
  <c r="M104" i="1" s="1"/>
  <c r="N104" i="1" s="1"/>
  <c r="L103" i="1"/>
  <c r="M103" i="1" s="1"/>
  <c r="N103" i="1" s="1"/>
  <c r="L102" i="1"/>
  <c r="M102" i="1" s="1"/>
  <c r="N102" i="1" s="1"/>
  <c r="L101" i="1"/>
  <c r="M101" i="1" s="1"/>
  <c r="N101" i="1" s="1"/>
  <c r="L100" i="1"/>
  <c r="M100" i="1" s="1"/>
  <c r="N100" i="1" s="1"/>
  <c r="L99" i="1"/>
  <c r="M99" i="1" s="1"/>
  <c r="N99" i="1" s="1"/>
  <c r="L98" i="1"/>
  <c r="M98" i="1" s="1"/>
  <c r="N98" i="1" s="1"/>
  <c r="L97" i="1"/>
  <c r="M97" i="1" s="1"/>
  <c r="N97" i="1" s="1"/>
  <c r="L96" i="1"/>
  <c r="M96" i="1" s="1"/>
  <c r="N96" i="1" s="1"/>
  <c r="L95" i="1"/>
  <c r="M95" i="1" s="1"/>
  <c r="N95" i="1" s="1"/>
  <c r="L94" i="1"/>
  <c r="M94" i="1" s="1"/>
  <c r="N94" i="1" s="1"/>
  <c r="L93" i="1"/>
  <c r="M93" i="1" s="1"/>
  <c r="N93" i="1" s="1"/>
  <c r="L92" i="1"/>
  <c r="M92" i="1" s="1"/>
  <c r="N92" i="1" s="1"/>
  <c r="L91" i="1"/>
  <c r="M91" i="1" s="1"/>
  <c r="N91" i="1" s="1"/>
  <c r="L90" i="1"/>
  <c r="M90" i="1" s="1"/>
  <c r="N90" i="1" s="1"/>
  <c r="L89" i="1"/>
  <c r="M89" i="1" s="1"/>
  <c r="N89" i="1" s="1"/>
  <c r="L88" i="1"/>
  <c r="M88" i="1" s="1"/>
  <c r="N88" i="1" s="1"/>
  <c r="L87" i="1"/>
  <c r="M87" i="1" s="1"/>
  <c r="N87" i="1" s="1"/>
  <c r="L86" i="1"/>
  <c r="M86" i="1" s="1"/>
  <c r="N86" i="1" s="1"/>
  <c r="L85" i="1"/>
  <c r="M85" i="1" s="1"/>
  <c r="N85" i="1" s="1"/>
  <c r="L84" i="1"/>
  <c r="M84" i="1" s="1"/>
  <c r="N84" i="1" s="1"/>
  <c r="L83" i="1"/>
  <c r="M83" i="1" s="1"/>
  <c r="N83" i="1" s="1"/>
  <c r="L82" i="1"/>
  <c r="M82" i="1" s="1"/>
  <c r="N82" i="1" s="1"/>
  <c r="L81" i="1"/>
  <c r="M81" i="1" s="1"/>
  <c r="N81" i="1" s="1"/>
  <c r="L80" i="1"/>
  <c r="M80" i="1" s="1"/>
  <c r="N80" i="1" s="1"/>
  <c r="L79" i="1"/>
  <c r="M79" i="1" s="1"/>
  <c r="N79" i="1" s="1"/>
  <c r="L78" i="1"/>
  <c r="M78" i="1" s="1"/>
  <c r="L77" i="1"/>
  <c r="M77" i="1" s="1"/>
  <c r="N77" i="1" s="1"/>
  <c r="L76" i="1"/>
  <c r="M76" i="1" s="1"/>
  <c r="N76" i="1" s="1"/>
  <c r="L75" i="1"/>
  <c r="M75" i="1" s="1"/>
  <c r="N75" i="1" s="1"/>
  <c r="L74" i="1"/>
  <c r="M74" i="1" s="1"/>
  <c r="N74" i="1" s="1"/>
  <c r="L73" i="1"/>
  <c r="M73" i="1" s="1"/>
  <c r="N73" i="1" s="1"/>
  <c r="L72" i="1"/>
  <c r="M72" i="1" s="1"/>
  <c r="N72" i="1" s="1"/>
  <c r="L71" i="1"/>
  <c r="M71" i="1" s="1"/>
  <c r="N71" i="1" s="1"/>
  <c r="L70" i="1"/>
  <c r="M70" i="1" s="1"/>
  <c r="L69" i="1"/>
  <c r="M69" i="1" s="1"/>
  <c r="N69" i="1" s="1"/>
  <c r="L68" i="1"/>
  <c r="M68" i="1" s="1"/>
  <c r="L67" i="1"/>
  <c r="M67" i="1" s="1"/>
  <c r="N67" i="1" s="1"/>
  <c r="L66" i="1"/>
  <c r="M66" i="1" s="1"/>
  <c r="N66" i="1" s="1"/>
  <c r="L65" i="1"/>
  <c r="M65" i="1" s="1"/>
  <c r="L64" i="1"/>
  <c r="M64" i="1" s="1"/>
  <c r="N64" i="1" s="1"/>
  <c r="L63" i="1"/>
  <c r="M63" i="1" s="1"/>
  <c r="N63" i="1" s="1"/>
  <c r="L62" i="1"/>
  <c r="M62" i="1" s="1"/>
  <c r="N62" i="1" s="1"/>
  <c r="L61" i="1"/>
  <c r="M61" i="1" s="1"/>
  <c r="N61" i="1" s="1"/>
  <c r="L60" i="1"/>
  <c r="M60" i="1" s="1"/>
  <c r="N60" i="1" s="1"/>
  <c r="L59" i="1"/>
  <c r="M59" i="1" s="1"/>
  <c r="N59" i="1" s="1"/>
  <c r="L58" i="1"/>
  <c r="M58" i="1" s="1"/>
  <c r="N58" i="1" s="1"/>
  <c r="L57" i="1"/>
  <c r="M57" i="1" s="1"/>
  <c r="N57" i="1" s="1"/>
  <c r="L56" i="1"/>
  <c r="M56" i="1" s="1"/>
  <c r="N56" i="1" s="1"/>
  <c r="L55" i="1"/>
  <c r="M55" i="1" s="1"/>
  <c r="N55" i="1" s="1"/>
  <c r="L54" i="1"/>
  <c r="M54" i="1" s="1"/>
  <c r="N54" i="1" s="1"/>
  <c r="L53" i="1"/>
  <c r="M53" i="1" s="1"/>
  <c r="N53" i="1" s="1"/>
  <c r="L52" i="1"/>
  <c r="M52" i="1" s="1"/>
  <c r="L51" i="1"/>
  <c r="M51" i="1" s="1"/>
  <c r="L50" i="1"/>
  <c r="M50" i="1" s="1"/>
  <c r="L49" i="1"/>
  <c r="M49" i="1" s="1"/>
  <c r="N49" i="1" s="1"/>
  <c r="L48" i="1"/>
  <c r="M48" i="1" s="1"/>
  <c r="N48" i="1" s="1"/>
  <c r="L47" i="1"/>
  <c r="M47" i="1" s="1"/>
  <c r="N47" i="1" s="1"/>
  <c r="L46" i="1"/>
  <c r="M46" i="1" s="1"/>
  <c r="N46" i="1" s="1"/>
  <c r="L45" i="1"/>
  <c r="M45" i="1" s="1"/>
  <c r="N45" i="1" s="1"/>
  <c r="L44" i="1"/>
  <c r="M44" i="1" s="1"/>
  <c r="N44" i="1" s="1"/>
  <c r="L43" i="1"/>
  <c r="M43" i="1" s="1"/>
  <c r="N43" i="1" s="1"/>
  <c r="L42" i="1"/>
  <c r="M42" i="1" s="1"/>
  <c r="N42" i="1" s="1"/>
  <c r="L41" i="1"/>
  <c r="M41" i="1" s="1"/>
  <c r="N41" i="1" s="1"/>
  <c r="L40" i="1"/>
  <c r="M40" i="1" s="1"/>
  <c r="N40" i="1" s="1"/>
  <c r="L39" i="1"/>
  <c r="M39" i="1" s="1"/>
  <c r="N39" i="1" s="1"/>
  <c r="L38" i="1"/>
  <c r="M38" i="1" s="1"/>
  <c r="L37" i="1"/>
  <c r="M37" i="1" s="1"/>
  <c r="N37" i="1" s="1"/>
  <c r="L36" i="1"/>
  <c r="M36" i="1" s="1"/>
  <c r="N36" i="1" s="1"/>
  <c r="L35" i="1"/>
  <c r="M35" i="1" s="1"/>
  <c r="N35" i="1" s="1"/>
  <c r="L34" i="1"/>
  <c r="M34" i="1" s="1"/>
  <c r="N34" i="1" s="1"/>
  <c r="L33" i="1"/>
  <c r="M33" i="1" s="1"/>
  <c r="N33" i="1" s="1"/>
  <c r="L32" i="1"/>
  <c r="M32" i="1" s="1"/>
  <c r="N32" i="1" s="1"/>
  <c r="L31" i="1"/>
  <c r="M31" i="1" s="1"/>
  <c r="L30" i="1"/>
  <c r="M30" i="1" s="1"/>
  <c r="N30" i="1" s="1"/>
  <c r="L29" i="1"/>
  <c r="M29" i="1" s="1"/>
  <c r="L28" i="1"/>
  <c r="M28" i="1" s="1"/>
  <c r="N28" i="1" s="1"/>
  <c r="L27" i="1"/>
  <c r="M27" i="1" s="1"/>
  <c r="N27" i="1" s="1"/>
  <c r="L26" i="1"/>
  <c r="M26" i="1" s="1"/>
  <c r="N26" i="1" s="1"/>
  <c r="L25" i="1"/>
  <c r="M25" i="1" s="1"/>
  <c r="N25" i="1" s="1"/>
  <c r="L24" i="1"/>
  <c r="M24" i="1" s="1"/>
  <c r="L23" i="1"/>
  <c r="M23" i="1" s="1"/>
  <c r="L22" i="1"/>
  <c r="M22" i="1" s="1"/>
  <c r="N22" i="1" s="1"/>
  <c r="L21" i="1"/>
  <c r="M21" i="1" s="1"/>
  <c r="N21" i="1" s="1"/>
  <c r="L20" i="1"/>
  <c r="M20" i="1" s="1"/>
  <c r="N20" i="1" s="1"/>
  <c r="L19" i="1"/>
  <c r="M19" i="1" s="1"/>
  <c r="N19" i="1" s="1"/>
  <c r="L18" i="1"/>
  <c r="M18" i="1" s="1"/>
  <c r="L17" i="1"/>
  <c r="M17" i="1" s="1"/>
  <c r="N17" i="1" s="1"/>
  <c r="L16" i="1"/>
  <c r="M16" i="1" s="1"/>
  <c r="L15" i="1"/>
  <c r="M15" i="1" s="1"/>
  <c r="N15" i="1" s="1"/>
  <c r="L14" i="1"/>
  <c r="M14" i="1" s="1"/>
  <c r="N14" i="1" s="1"/>
  <c r="L13" i="1"/>
  <c r="M13" i="1" s="1"/>
  <c r="N13" i="1" s="1"/>
  <c r="L12" i="1"/>
  <c r="M12" i="1" s="1"/>
  <c r="N12" i="1" s="1"/>
  <c r="L11" i="1"/>
  <c r="L10" i="1"/>
  <c r="M10" i="1" s="1"/>
  <c r="N10" i="1" s="1"/>
  <c r="L9" i="1"/>
  <c r="M9" i="1" s="1"/>
  <c r="L8" i="1"/>
  <c r="M8" i="1" s="1"/>
  <c r="L7" i="1"/>
  <c r="M7" i="1" s="1"/>
  <c r="N7" i="1" s="1"/>
  <c r="L6" i="1"/>
  <c r="M6" i="1" s="1"/>
  <c r="N6" i="1" s="1"/>
  <c r="L5" i="1"/>
  <c r="M5" i="1" s="1"/>
  <c r="N5" i="1" s="1"/>
  <c r="L4" i="1"/>
  <c r="M4" i="1" s="1"/>
  <c r="N4" i="1" s="1"/>
  <c r="L3" i="1"/>
  <c r="M3" i="1" s="1"/>
  <c r="N3" i="1" s="1"/>
  <c r="L2" i="1"/>
  <c r="M2" i="1" s="1"/>
  <c r="N2" i="1" s="1"/>
  <c r="L118" i="2"/>
  <c r="M118" i="2" s="1"/>
  <c r="L117" i="2"/>
  <c r="M117" i="2" s="1"/>
  <c r="N117" i="2" s="1"/>
  <c r="L116" i="2"/>
  <c r="M116" i="2" s="1"/>
  <c r="N116" i="2" s="1"/>
  <c r="L115" i="2"/>
  <c r="M115" i="2" s="1"/>
  <c r="N115" i="2" s="1"/>
  <c r="L114" i="2"/>
  <c r="M114" i="2" s="1"/>
  <c r="N114" i="2" s="1"/>
  <c r="L113" i="2"/>
  <c r="M113" i="2" s="1"/>
  <c r="N113" i="2" s="1"/>
  <c r="L112" i="2"/>
  <c r="M112" i="2" s="1"/>
  <c r="N112" i="2" s="1"/>
  <c r="L111" i="2"/>
  <c r="M111" i="2" s="1"/>
  <c r="N111" i="2" s="1"/>
  <c r="L110" i="2"/>
  <c r="M110" i="2" s="1"/>
  <c r="N110" i="2" s="1"/>
  <c r="L109" i="2"/>
  <c r="M109" i="2" s="1"/>
  <c r="L108" i="2"/>
  <c r="M108" i="2" s="1"/>
  <c r="L107" i="2"/>
  <c r="M107" i="2" s="1"/>
  <c r="N107" i="2" s="1"/>
  <c r="L106" i="2"/>
  <c r="M106" i="2" s="1"/>
  <c r="N106" i="2" s="1"/>
  <c r="L105" i="2"/>
  <c r="M105" i="2" s="1"/>
  <c r="N105" i="2" s="1"/>
  <c r="L104" i="2"/>
  <c r="M104" i="2" s="1"/>
  <c r="N104" i="2" s="1"/>
  <c r="L103" i="2"/>
  <c r="M103" i="2" s="1"/>
  <c r="N103" i="2" s="1"/>
  <c r="L102" i="2"/>
  <c r="M102" i="2" s="1"/>
  <c r="N102" i="2" s="1"/>
  <c r="L101" i="2"/>
  <c r="M101" i="2" s="1"/>
  <c r="N101" i="2" s="1"/>
  <c r="L100" i="2"/>
  <c r="M100" i="2" s="1"/>
  <c r="N100" i="2" s="1"/>
  <c r="L99" i="2"/>
  <c r="M99" i="2" s="1"/>
  <c r="N99" i="2" s="1"/>
  <c r="L98" i="2"/>
  <c r="M98" i="2" s="1"/>
  <c r="N98" i="2" s="1"/>
  <c r="L97" i="2"/>
  <c r="M97" i="2" s="1"/>
  <c r="N97" i="2" s="1"/>
  <c r="L96" i="2"/>
  <c r="M96" i="2" s="1"/>
  <c r="L95" i="2"/>
  <c r="M95" i="2" s="1"/>
  <c r="N95" i="2" s="1"/>
  <c r="L94" i="2"/>
  <c r="M94" i="2" s="1"/>
  <c r="N94" i="2" s="1"/>
  <c r="L93" i="2"/>
  <c r="M93" i="2" s="1"/>
  <c r="L92" i="2"/>
  <c r="M92" i="2" s="1"/>
  <c r="L91" i="2"/>
  <c r="M91" i="2" s="1"/>
  <c r="N91" i="2" s="1"/>
  <c r="L90" i="2"/>
  <c r="M90" i="2" s="1"/>
  <c r="N90" i="2" s="1"/>
  <c r="L89" i="2"/>
  <c r="M89" i="2" s="1"/>
  <c r="N89" i="2" s="1"/>
  <c r="L88" i="2"/>
  <c r="M88" i="2" s="1"/>
  <c r="N88" i="2" s="1"/>
  <c r="L87" i="2"/>
  <c r="M87" i="2" s="1"/>
  <c r="N87" i="2" s="1"/>
  <c r="L86" i="2"/>
  <c r="M86" i="2" s="1"/>
  <c r="N86" i="2" s="1"/>
  <c r="L85" i="2"/>
  <c r="M85" i="2" s="1"/>
  <c r="N85" i="2" s="1"/>
  <c r="L84" i="2"/>
  <c r="M84" i="2" s="1"/>
  <c r="N84" i="2" s="1"/>
  <c r="L83" i="2"/>
  <c r="M83" i="2" s="1"/>
  <c r="N83" i="2" s="1"/>
  <c r="L82" i="2"/>
  <c r="M82" i="2" s="1"/>
  <c r="N82" i="2" s="1"/>
  <c r="L81" i="2"/>
  <c r="L80" i="2"/>
  <c r="M80" i="2" s="1"/>
  <c r="N80" i="2" s="1"/>
  <c r="L79" i="2"/>
  <c r="M79" i="2" s="1"/>
  <c r="L78" i="2"/>
  <c r="M78" i="2" s="1"/>
  <c r="L77" i="2"/>
  <c r="M77" i="2" s="1"/>
  <c r="N77" i="2" s="1"/>
  <c r="L76" i="2"/>
  <c r="M76" i="2" s="1"/>
  <c r="N76" i="2" s="1"/>
  <c r="L75" i="2"/>
  <c r="M75" i="2" s="1"/>
  <c r="N75" i="2" s="1"/>
  <c r="L74" i="2"/>
  <c r="M74" i="2" s="1"/>
  <c r="N74" i="2" s="1"/>
  <c r="L73" i="2"/>
  <c r="M73" i="2" s="1"/>
  <c r="L72" i="2"/>
  <c r="M72" i="2" s="1"/>
  <c r="L71" i="2"/>
  <c r="M71" i="2" s="1"/>
  <c r="N71" i="2" s="1"/>
  <c r="L70" i="2"/>
  <c r="M70" i="2" s="1"/>
  <c r="N70" i="2" s="1"/>
  <c r="L69" i="2"/>
  <c r="M69" i="2" s="1"/>
  <c r="N69" i="2" s="1"/>
  <c r="L68" i="2"/>
  <c r="M68" i="2" s="1"/>
  <c r="L67" i="2"/>
  <c r="M67" i="2" s="1"/>
  <c r="L66" i="2"/>
  <c r="M66" i="2" s="1"/>
  <c r="N66" i="2" s="1"/>
  <c r="L65" i="2"/>
  <c r="L64" i="2"/>
  <c r="M64" i="2" s="1"/>
  <c r="N64" i="2" s="1"/>
  <c r="L63" i="2"/>
  <c r="M63" i="2" s="1"/>
  <c r="N63" i="2" s="1"/>
  <c r="L62" i="2"/>
  <c r="M62" i="2" s="1"/>
  <c r="N62" i="2" s="1"/>
  <c r="L61" i="2"/>
  <c r="M61" i="2" s="1"/>
  <c r="N61" i="2" s="1"/>
  <c r="L60" i="2"/>
  <c r="M60" i="2" s="1"/>
  <c r="N60" i="2" s="1"/>
  <c r="L59" i="2"/>
  <c r="M59" i="2" s="1"/>
  <c r="N59" i="2" s="1"/>
  <c r="L58" i="2"/>
  <c r="M58" i="2" s="1"/>
  <c r="N58" i="2" s="1"/>
  <c r="L57" i="2"/>
  <c r="M57" i="2" s="1"/>
  <c r="N57" i="2" s="1"/>
  <c r="L56" i="2"/>
  <c r="M56" i="2" s="1"/>
  <c r="L55" i="2"/>
  <c r="M55" i="2" s="1"/>
  <c r="N55" i="2" s="1"/>
  <c r="L54" i="2"/>
  <c r="M54" i="2" s="1"/>
  <c r="N54" i="2" s="1"/>
  <c r="L53" i="2"/>
  <c r="M53" i="2" s="1"/>
  <c r="N53" i="2" s="1"/>
  <c r="L52" i="2"/>
  <c r="M52" i="2" s="1"/>
  <c r="N52" i="2" s="1"/>
  <c r="L51" i="2"/>
  <c r="M51" i="2" s="1"/>
  <c r="L50" i="2"/>
  <c r="M50" i="2" s="1"/>
  <c r="N50" i="2" s="1"/>
  <c r="L49" i="2"/>
  <c r="M49" i="2" s="1"/>
  <c r="L48" i="2"/>
  <c r="M48" i="2" s="1"/>
  <c r="N48" i="2" s="1"/>
  <c r="L47" i="2"/>
  <c r="M47" i="2" s="1"/>
  <c r="N47" i="2" s="1"/>
  <c r="L46" i="2"/>
  <c r="M46" i="2" s="1"/>
  <c r="N46" i="2" s="1"/>
  <c r="L45" i="2"/>
  <c r="M45" i="2" s="1"/>
  <c r="N45" i="2" s="1"/>
  <c r="L44" i="2"/>
  <c r="M44" i="2" s="1"/>
  <c r="N44" i="2" s="1"/>
  <c r="L43" i="2"/>
  <c r="M43" i="2" s="1"/>
  <c r="L42" i="2"/>
  <c r="M42" i="2" s="1"/>
  <c r="L41" i="2"/>
  <c r="M41" i="2" s="1"/>
  <c r="N41" i="2" s="1"/>
  <c r="L40" i="2"/>
  <c r="M40" i="2" s="1"/>
  <c r="N40" i="2" s="1"/>
  <c r="L39" i="2"/>
  <c r="M39" i="2" s="1"/>
  <c r="N39" i="2" s="1"/>
  <c r="L38" i="2"/>
  <c r="M38" i="2" s="1"/>
  <c r="N38" i="2" s="1"/>
  <c r="L37" i="2"/>
  <c r="M37" i="2" s="1"/>
  <c r="N37" i="2" s="1"/>
  <c r="L36" i="2"/>
  <c r="M36" i="2" s="1"/>
  <c r="N36" i="2" s="1"/>
  <c r="L35" i="2"/>
  <c r="M35" i="2" s="1"/>
  <c r="N35" i="2" s="1"/>
  <c r="L34" i="2"/>
  <c r="M34" i="2" s="1"/>
  <c r="N34" i="2" s="1"/>
  <c r="L33" i="2"/>
  <c r="M33" i="2" s="1"/>
  <c r="N33" i="2" s="1"/>
  <c r="L32" i="2"/>
  <c r="M32" i="2" s="1"/>
  <c r="N32" i="2" s="1"/>
  <c r="L31" i="2"/>
  <c r="M31" i="2" s="1"/>
  <c r="N31" i="2" s="1"/>
  <c r="L30" i="2"/>
  <c r="M30" i="2" s="1"/>
  <c r="N30" i="2" s="1"/>
  <c r="L29" i="2"/>
  <c r="M29" i="2" s="1"/>
  <c r="N29" i="2" s="1"/>
  <c r="L28" i="2"/>
  <c r="M28" i="2" s="1"/>
  <c r="N28" i="2" s="1"/>
  <c r="L27" i="2"/>
  <c r="M27" i="2" s="1"/>
  <c r="N27" i="2" s="1"/>
  <c r="L26" i="2"/>
  <c r="M26" i="2" s="1"/>
  <c r="N26" i="2" s="1"/>
  <c r="L25" i="2"/>
  <c r="M25" i="2" s="1"/>
  <c r="N25" i="2" s="1"/>
  <c r="L24" i="2"/>
  <c r="M24" i="2" s="1"/>
  <c r="N24" i="2" s="1"/>
  <c r="L23" i="2"/>
  <c r="M23" i="2" s="1"/>
  <c r="N23" i="2" s="1"/>
  <c r="L22" i="2"/>
  <c r="M22" i="2" s="1"/>
  <c r="N22" i="2" s="1"/>
  <c r="L21" i="2"/>
  <c r="M21" i="2" s="1"/>
  <c r="N21" i="2" s="1"/>
  <c r="L20" i="2"/>
  <c r="M20" i="2" s="1"/>
  <c r="N20" i="2" s="1"/>
  <c r="L19" i="2"/>
  <c r="M19" i="2" s="1"/>
  <c r="N19" i="2" s="1"/>
  <c r="L18" i="2"/>
  <c r="M18" i="2" s="1"/>
  <c r="L17" i="2"/>
  <c r="M17" i="2" s="1"/>
  <c r="N17" i="2" s="1"/>
  <c r="L16" i="2"/>
  <c r="M16" i="2" s="1"/>
  <c r="N16" i="2" s="1"/>
  <c r="L15" i="2"/>
  <c r="M15" i="2" s="1"/>
  <c r="N15" i="2" s="1"/>
  <c r="L14" i="2"/>
  <c r="M14" i="2" s="1"/>
  <c r="N14" i="2" s="1"/>
  <c r="L13" i="2"/>
  <c r="M13" i="2" s="1"/>
  <c r="L12" i="2"/>
  <c r="M12" i="2" s="1"/>
  <c r="N12" i="2" s="1"/>
  <c r="L11" i="2"/>
  <c r="M11" i="2" s="1"/>
  <c r="N11" i="2" s="1"/>
  <c r="L10" i="2"/>
  <c r="M10" i="2" s="1"/>
  <c r="N10" i="2" s="1"/>
  <c r="L9" i="2"/>
  <c r="M9" i="2" s="1"/>
  <c r="N9" i="2" s="1"/>
  <c r="L8" i="2"/>
  <c r="M8" i="2" s="1"/>
  <c r="N8" i="2" s="1"/>
  <c r="L7" i="2"/>
  <c r="M7" i="2" s="1"/>
  <c r="L6" i="2"/>
  <c r="M6" i="2" s="1"/>
  <c r="N6" i="2" s="1"/>
  <c r="L5" i="2"/>
  <c r="M5" i="2" s="1"/>
  <c r="N5" i="2" s="1"/>
  <c r="L4" i="2"/>
  <c r="M4" i="2" s="1"/>
  <c r="N4" i="2" s="1"/>
  <c r="L3" i="2"/>
  <c r="M3" i="2" s="1"/>
  <c r="L2" i="2"/>
  <c r="M2" i="2" s="1"/>
  <c r="N2" i="2" s="1"/>
  <c r="M294" i="15"/>
  <c r="M293" i="15"/>
  <c r="M292" i="15"/>
  <c r="M291" i="15"/>
  <c r="M290" i="15"/>
  <c r="M289" i="15"/>
  <c r="M288" i="15"/>
  <c r="M287" i="15"/>
  <c r="M286" i="15"/>
  <c r="M285" i="15"/>
  <c r="M284" i="15"/>
  <c r="M283" i="15"/>
  <c r="M282" i="15"/>
  <c r="M281" i="15"/>
  <c r="M280" i="15"/>
  <c r="M279" i="15"/>
  <c r="M278" i="15"/>
  <c r="M277" i="15"/>
  <c r="M276" i="15"/>
  <c r="M275" i="15"/>
  <c r="M274" i="15"/>
  <c r="M273" i="15"/>
  <c r="M272" i="15"/>
  <c r="M271" i="15"/>
  <c r="M270" i="15"/>
  <c r="M269" i="15"/>
  <c r="M268" i="15"/>
  <c r="M267" i="15"/>
  <c r="M266" i="15"/>
  <c r="M265" i="15"/>
  <c r="M264" i="15"/>
  <c r="M263" i="15"/>
  <c r="M262" i="15"/>
  <c r="M261" i="15"/>
  <c r="M260" i="15"/>
  <c r="M259" i="15"/>
  <c r="M258" i="15"/>
  <c r="M257" i="15"/>
  <c r="M256" i="15"/>
  <c r="M255" i="15"/>
  <c r="M254" i="15"/>
  <c r="M253" i="15"/>
  <c r="M252" i="15"/>
  <c r="M251" i="15"/>
  <c r="M250" i="15"/>
  <c r="M249" i="15"/>
  <c r="M248" i="15"/>
  <c r="M247" i="15"/>
  <c r="M246" i="15"/>
  <c r="M245" i="15"/>
  <c r="M244" i="15"/>
  <c r="M243" i="15"/>
  <c r="M242" i="15"/>
  <c r="M241" i="15"/>
  <c r="M240" i="15"/>
  <c r="M239" i="15"/>
  <c r="M238" i="15"/>
  <c r="M237" i="15"/>
  <c r="M236" i="15"/>
  <c r="M235" i="15"/>
  <c r="M234" i="15"/>
  <c r="M233" i="15"/>
  <c r="M232" i="15"/>
  <c r="M231" i="15"/>
  <c r="M230" i="15"/>
  <c r="M229" i="15"/>
  <c r="M228" i="15"/>
  <c r="M227" i="15"/>
  <c r="M226" i="15"/>
  <c r="M225" i="15"/>
  <c r="M224" i="15"/>
  <c r="M223" i="15"/>
  <c r="M222" i="15"/>
  <c r="M221" i="15"/>
  <c r="M220" i="15"/>
  <c r="M219" i="15"/>
  <c r="M218" i="15"/>
  <c r="M217" i="15"/>
  <c r="M216" i="15"/>
  <c r="M215" i="15"/>
  <c r="M214" i="15"/>
  <c r="M213" i="15"/>
  <c r="M212" i="15"/>
  <c r="M211" i="15"/>
  <c r="M210" i="15"/>
  <c r="M209" i="15"/>
  <c r="M208" i="15"/>
  <c r="M207" i="15"/>
  <c r="M206" i="15"/>
  <c r="M205" i="15"/>
  <c r="M204" i="15"/>
  <c r="M203" i="15"/>
  <c r="M202" i="15"/>
  <c r="M199" i="15"/>
  <c r="M197" i="15"/>
  <c r="M196" i="15"/>
  <c r="M195" i="15"/>
  <c r="M193" i="15"/>
  <c r="M192" i="15"/>
  <c r="M191" i="15"/>
  <c r="M190" i="15"/>
  <c r="M189" i="15"/>
  <c r="M186" i="15"/>
  <c r="M183" i="15"/>
  <c r="M182" i="15"/>
  <c r="M180" i="15"/>
  <c r="M179" i="15"/>
  <c r="M178" i="15"/>
  <c r="M176" i="15"/>
  <c r="M175" i="15"/>
  <c r="M174" i="15"/>
  <c r="M173" i="15"/>
  <c r="M167" i="15"/>
  <c r="M166" i="15"/>
  <c r="M165" i="15"/>
  <c r="M164" i="15"/>
  <c r="M163" i="15"/>
  <c r="M162" i="15"/>
  <c r="M160" i="15"/>
  <c r="M159" i="15"/>
  <c r="M158" i="15"/>
  <c r="M157" i="15"/>
  <c r="M151" i="15"/>
  <c r="M150" i="15"/>
  <c r="M149" i="15"/>
  <c r="M148" i="15"/>
  <c r="M147" i="15"/>
  <c r="M146" i="15"/>
  <c r="M145" i="15"/>
  <c r="M144" i="15"/>
  <c r="M143" i="15"/>
  <c r="M142" i="15"/>
  <c r="M141" i="15"/>
  <c r="M140" i="15"/>
  <c r="M135" i="15"/>
  <c r="M134" i="15"/>
  <c r="M133" i="15"/>
  <c r="M132" i="15"/>
  <c r="M131" i="15"/>
  <c r="M128" i="15"/>
  <c r="M127" i="15"/>
  <c r="M126" i="15"/>
  <c r="M125" i="15"/>
  <c r="M124" i="15"/>
  <c r="M119" i="15"/>
  <c r="M116" i="15"/>
  <c r="M115" i="15"/>
  <c r="M114" i="15"/>
  <c r="M113" i="15"/>
  <c r="M112" i="15"/>
  <c r="M111" i="15"/>
  <c r="M110" i="15"/>
  <c r="M109" i="15"/>
  <c r="M107" i="15"/>
  <c r="M106" i="15"/>
  <c r="M103" i="15"/>
  <c r="M100" i="15"/>
  <c r="M99" i="15"/>
  <c r="M98" i="15"/>
  <c r="M97" i="15"/>
  <c r="M96" i="15"/>
  <c r="M95" i="15"/>
  <c r="M94" i="15"/>
  <c r="M93" i="15"/>
  <c r="M91" i="15"/>
  <c r="M87" i="15"/>
  <c r="M86" i="15"/>
  <c r="M83" i="15"/>
  <c r="M82" i="15"/>
  <c r="M80" i="15"/>
  <c r="M79" i="15"/>
  <c r="M78" i="15"/>
  <c r="M77" i="15"/>
  <c r="M76" i="15"/>
  <c r="M75" i="15"/>
  <c r="M71" i="15"/>
  <c r="M70" i="15"/>
  <c r="M67" i="15"/>
  <c r="M64" i="15"/>
  <c r="M63" i="15"/>
  <c r="M62" i="15"/>
  <c r="M61" i="15"/>
  <c r="M60" i="15"/>
  <c r="M59" i="15"/>
  <c r="M55" i="15"/>
  <c r="M54" i="15"/>
  <c r="M51" i="15"/>
  <c r="M48" i="15"/>
  <c r="M47" i="15"/>
  <c r="M46" i="15"/>
  <c r="M45" i="15"/>
  <c r="M44" i="15"/>
  <c r="M39" i="15"/>
  <c r="M38" i="15"/>
  <c r="M35" i="15"/>
  <c r="M32" i="15"/>
  <c r="M31" i="15"/>
  <c r="M30" i="15"/>
  <c r="M29" i="15"/>
  <c r="M27" i="15"/>
  <c r="M26" i="15"/>
  <c r="M23" i="15"/>
  <c r="M20" i="15"/>
  <c r="N20" i="15" s="1"/>
  <c r="M19" i="15"/>
  <c r="M15" i="15"/>
  <c r="M14" i="15"/>
  <c r="M13" i="15"/>
  <c r="M12" i="15"/>
  <c r="M11" i="15"/>
  <c r="M10" i="15"/>
  <c r="M7" i="15"/>
  <c r="M6" i="15"/>
  <c r="M4" i="15"/>
  <c r="M3" i="15"/>
  <c r="M156" i="1"/>
  <c r="N156" i="1" s="1"/>
  <c r="M81" i="2"/>
  <c r="N81" i="2" s="1"/>
  <c r="M65" i="2"/>
  <c r="N65" i="2" s="1"/>
  <c r="E4" i="16"/>
  <c r="G4" i="16" s="1"/>
  <c r="E5" i="16"/>
  <c r="G5" i="16" s="1"/>
  <c r="E3" i="16"/>
  <c r="M119" i="2" l="1"/>
  <c r="M295" i="15"/>
  <c r="M180" i="1"/>
  <c r="N3" i="2"/>
  <c r="E6" i="16"/>
  <c r="G3" i="16"/>
  <c r="G6" i="16" s="1"/>
</calcChain>
</file>

<file path=xl/sharedStrings.xml><?xml version="1.0" encoding="utf-8"?>
<sst xmlns="http://schemas.openxmlformats.org/spreadsheetml/2006/main" count="3894" uniqueCount="2572">
  <si>
    <t>S No</t>
  </si>
  <si>
    <t>MEMBERSHIP NO.</t>
  </si>
  <si>
    <t>LANE NO.</t>
  </si>
  <si>
    <t>HOUSE NO.</t>
  </si>
  <si>
    <t>CNIC</t>
  </si>
  <si>
    <t>Present Address</t>
  </si>
  <si>
    <t>Cell</t>
  </si>
  <si>
    <t>800-00821</t>
  </si>
  <si>
    <t>MR. ZAHEER PERVAIZ KHAN</t>
  </si>
  <si>
    <t>1-A</t>
  </si>
  <si>
    <t>92008-5212065-9</t>
  </si>
  <si>
    <t>HOUSE NO.452-C, PHASE-02, MARGALLA TOWN ISLAMABAD</t>
  </si>
  <si>
    <t>0335-5444111</t>
  </si>
  <si>
    <t>800-00633</t>
  </si>
  <si>
    <t>Mrs. Shahida Rasul</t>
  </si>
  <si>
    <t>61101-1887673-4, 61101-5430720-5, 61101-5273516-1, 61101-1888454-6, 61101-3455164-4</t>
  </si>
  <si>
    <t xml:space="preserve">House No.01, Patras Bokhari Road 
Sector H-8/2, Islamabad
</t>
  </si>
  <si>
    <t>0300-8565888</t>
  </si>
  <si>
    <t>800-00758</t>
  </si>
  <si>
    <t>MR. AHMAD KHAN</t>
  </si>
  <si>
    <t>61101-9267914-7</t>
  </si>
  <si>
    <t>HOUSE NO.13, ST NO.31, SECTOR F-6/1, ISLAMABAD</t>
  </si>
  <si>
    <t>0300-5106102</t>
  </si>
  <si>
    <t>MR. BASHIR AHMED RAJA</t>
  </si>
  <si>
    <t>61101-6814551-9</t>
  </si>
  <si>
    <t>HOUSE NO. 50, BAZZAR ROAD SECTOR G-6/4, ISLAMABAD</t>
  </si>
  <si>
    <t>0300-5156531</t>
  </si>
  <si>
    <t>AMAR DAS &amp; RAVI KUMAR</t>
  </si>
  <si>
    <t>42301-7539617-5
 &amp; 42000-2613301-1</t>
  </si>
  <si>
    <t>FLAT NO. 507, BLOCK-B, WEST POINT TOWER, DHA PHASE-II, EXTENSION MAIN KORANGI ROAD KARACHI</t>
  </si>
  <si>
    <t>0336-6707770</t>
  </si>
  <si>
    <t>MR. SAJJAD SALEEM HOTIANA</t>
  </si>
  <si>
    <t>35301-1988226-7</t>
  </si>
  <si>
    <t>HOUSE NO. 22, ST NO. 10, SECTOR F-6/3, ISLAMABAD</t>
  </si>
  <si>
    <t>0332-5064444</t>
  </si>
  <si>
    <t>RAB NAWAZ</t>
  </si>
  <si>
    <t>61101-2720872-5</t>
  </si>
  <si>
    <t>MOHALLAH MALIK ABAD, KURI POST OFFICE, TEHSIL &amp; DISTT ISLAMABAD</t>
  </si>
  <si>
    <t>0345-6555562</t>
  </si>
  <si>
    <t>800-00855</t>
  </si>
  <si>
    <t>MR. KASHIF RIAZ</t>
  </si>
  <si>
    <t>35201-1420420-1</t>
  </si>
  <si>
    <t>HOUSE NO.78-BC, GALI NO.05, BAHAWALPUR CANTT TEHSIL &amp; DISTRICT BAHAWALPUR</t>
  </si>
  <si>
    <t>0333-5251784</t>
  </si>
  <si>
    <t>700-000930</t>
  </si>
  <si>
    <t>RIZWAN UL HAQ</t>
  </si>
  <si>
    <t>HOUSE NO. 4, NADI KINAARE STREET EAST BANIGALA ISLAMABAD</t>
  </si>
  <si>
    <t>MANZOOR AHMAD</t>
  </si>
  <si>
    <t>HOUSE NO.11, ST NO.01, PHAF OFFICERS RESIDENCIA KURRI ROAD ISLAMABAD</t>
  </si>
  <si>
    <t>800-00860</t>
  </si>
  <si>
    <t>MRS. ASMA ASAD</t>
  </si>
  <si>
    <t>35200-1432002-8</t>
  </si>
  <si>
    <t>HOUSE NO.287, MOHALLAH SHADMAN COLONY, LAHORE</t>
  </si>
  <si>
    <t>700-000018</t>
  </si>
  <si>
    <t>SHUJA SHAH</t>
  </si>
  <si>
    <t>19, SINDH CLUB, ABDULLAH HAROON ROAD, KARACHI</t>
  </si>
  <si>
    <t>0308-2220660</t>
  </si>
  <si>
    <t>AAMER FAYYAZ GHUMAN</t>
  </si>
  <si>
    <t>35202-2552027-5</t>
  </si>
  <si>
    <t>B-04, FAUJI FERTILIZER COMPANY COTH MACHHI SADIQABAD</t>
  </si>
  <si>
    <t>0300-9471141</t>
  </si>
  <si>
    <t>700-000073</t>
  </si>
  <si>
    <t>TARIQ IQBAL PURI</t>
  </si>
  <si>
    <t>HOUSE NO. 86-D, ST NO. 12, SUIGAS SOCIETY ADJUSANT DHA-4, LAHORE CANTT</t>
  </si>
  <si>
    <t>0308-4447788</t>
  </si>
  <si>
    <t>700-001213</t>
  </si>
  <si>
    <t>ATTAULLAH KHAN</t>
  </si>
  <si>
    <t>HOUSE NO. 195, STREET NO. 69, SECTOR F-10/3, ISLAMABAD</t>
  </si>
  <si>
    <t>0321-9235666</t>
  </si>
  <si>
    <t>700-000939</t>
  </si>
  <si>
    <t>ALI MUHAMMAD G. SHAIKH</t>
  </si>
  <si>
    <t>HOUSE NO. F-60, PARK LANE CLIFTON BLOCK-5, KARACHI</t>
  </si>
  <si>
    <t>0300-2866005</t>
  </si>
  <si>
    <t>SAEED ULLAH KHAN</t>
  </si>
  <si>
    <t>HOUSE NO. 76, ST NO. 11, D/3 PHASE-I, HAYATABAD PESAHWAR KPK PAKISTAN</t>
  </si>
  <si>
    <t>0333-9131184</t>
  </si>
  <si>
    <t>ALIYA SHAKEEL</t>
  </si>
  <si>
    <t>37405-6936554-8</t>
  </si>
  <si>
    <t>HOUSE NO. 433, ST NO. 57, SECTOR I-8/3, ISLAMABAD</t>
  </si>
  <si>
    <t>0333-5036209</t>
  </si>
  <si>
    <t>800-00856</t>
  </si>
  <si>
    <t>MR. MUHAMMAD MASUD AKRAM</t>
  </si>
  <si>
    <t>42201-4797719-7</t>
  </si>
  <si>
    <t>0312-6720000</t>
  </si>
  <si>
    <t>SHABANA JAMEEL</t>
  </si>
  <si>
    <t>42501-3738392-0</t>
  </si>
  <si>
    <t>32-B CENTRAL AVENUE PHASE-II, DHA KARACHI</t>
  </si>
  <si>
    <t>0300-3271122</t>
  </si>
  <si>
    <t>700-000047</t>
  </si>
  <si>
    <t>FARRAKH QAYYUM</t>
  </si>
  <si>
    <t>H.NO. 290 MAIN DOUBLE ROAD F-10/4 ISLAMABAD</t>
  </si>
  <si>
    <t>800-00843</t>
  </si>
  <si>
    <t>MRS. NADIA AMEEN</t>
  </si>
  <si>
    <t>35202-9338576-7</t>
  </si>
  <si>
    <t>HOUSE NO.32-A/2, MOHALLAH GULBERG-03, LAHORE DAHKNA GULBERG COLONY, LAHORE</t>
  </si>
  <si>
    <t>700-000134</t>
  </si>
  <si>
    <t>MUHAMMAD ABBAS</t>
  </si>
  <si>
    <t>301 DD ST NO. 5, DHA PHASE-IV LAHORE CANTT</t>
  </si>
  <si>
    <t>MR. FAIZ MANZOOR BALOCH</t>
  </si>
  <si>
    <t>32102-0874459-7</t>
  </si>
  <si>
    <t>PAIGAH NO. 2 P/O KHAS TEHSIL &amp; DIST DERA GHAZI KHAN</t>
  </si>
  <si>
    <t>EHSAN UL HAQ</t>
  </si>
  <si>
    <t>FLAT NO. FF-01, BLOCK-06, HAMZA CAMP FAIZABAD RAWALPINDI</t>
  </si>
  <si>
    <t>0336-1114474</t>
  </si>
  <si>
    <t>MRS. SHAHIDA TARIQ</t>
  </si>
  <si>
    <t>61101-1839537-4</t>
  </si>
  <si>
    <t>HOUSE NO.27, LANE NO.01, PHA OFFICERS RESIDENCIA KURRI ROAD ISLAMABAD</t>
  </si>
  <si>
    <t>0334-5176556</t>
  </si>
  <si>
    <t>800-00824</t>
  </si>
  <si>
    <t>MR. NAVEED KHAN</t>
  </si>
  <si>
    <t>37405-0588405-0</t>
  </si>
  <si>
    <t>HOUSE NO.153/4, MOHALLA ALLAHABAD WESTRIDGE-3 SCHOOL ROAD, RAWALPINDI</t>
  </si>
  <si>
    <t>0333-3981470</t>
  </si>
  <si>
    <t xml:space="preserve"> MURAD JUNAID IQBAL CH</t>
  </si>
  <si>
    <t>HOUSE NO. U 116/1 LANE NO. 03, PHASE-II DHA LAHORE</t>
  </si>
  <si>
    <t>700-000834</t>
  </si>
  <si>
    <t>ABDUL KHALIQ</t>
  </si>
  <si>
    <t>HOUSE NO. 79, ST NO. 690, SECTOR G-13/3, ISLAMABAD</t>
  </si>
  <si>
    <t>0345-5074319</t>
  </si>
  <si>
    <t>700-000017</t>
  </si>
  <si>
    <t>SIRAJ SALEEM SHAMSUDDIN</t>
  </si>
  <si>
    <t>56-A, ROAD NO-3, LALAZAR DRIVE MT, KHAN ROAD, KARACHI</t>
  </si>
  <si>
    <t>0303-9550013</t>
  </si>
  <si>
    <t>MR. MOHAMMAD YASIN</t>
  </si>
  <si>
    <t>61101-9178353-3</t>
  </si>
  <si>
    <t>HOUSE NO. 476, STREET NO. 68, SECTOR G-11/2, ISLAMABAD</t>
  </si>
  <si>
    <t>0322-5171551</t>
  </si>
  <si>
    <t>MRS. SARAH ABBAS</t>
  </si>
  <si>
    <t>35202-1513373-2</t>
  </si>
  <si>
    <t>49-AHMED BLOCK NEW GARDEN TOWN LAHORE</t>
  </si>
  <si>
    <t>0300-0430432</t>
  </si>
  <si>
    <t>MUHAMMAD FAROOQ AHMED KHAN</t>
  </si>
  <si>
    <t>61101-2002307-9</t>
  </si>
  <si>
    <t>HOUSE NO. 84, ST NO. 8, SECTOR-J, DHA PHASE-II, ISLAMABAD</t>
  </si>
  <si>
    <t>0322-4568080</t>
  </si>
  <si>
    <t>IRAM TAUQEER KHAN</t>
  </si>
  <si>
    <t>61101-2193561-8</t>
  </si>
  <si>
    <t>C/O BRIG ® SHAHID ZAMAN KHAN, DIRECTOR PLANS HQ SECTURITY DIVISION, SPD CHAKLALA RAWALPINDI</t>
  </si>
  <si>
    <t>0342-5559899</t>
  </si>
  <si>
    <t>800-00623</t>
  </si>
  <si>
    <t>MR. ASFAND YAR</t>
  </si>
  <si>
    <t>12101-5796388-5</t>
  </si>
  <si>
    <t>HOUSE NO. 09, ST NO. 29, SECTOR F-6/1, ISLAMABAD</t>
  </si>
  <si>
    <t>0333-8880811</t>
  </si>
  <si>
    <t>800-00759</t>
  </si>
  <si>
    <t>MRS. AMINA IQBAL</t>
  </si>
  <si>
    <t>13101-7325358-6</t>
  </si>
  <si>
    <t>HOUSE NO.402, IBNE SINA ROAD, SECOTR G-10/2, ISLAMABAD</t>
  </si>
  <si>
    <t>0300-9119219</t>
  </si>
  <si>
    <t>800-00725</t>
  </si>
  <si>
    <t>MR. AFRASIAB</t>
  </si>
  <si>
    <t>37405-5743129-3</t>
  </si>
  <si>
    <t xml:space="preserve">House No.337, St No.13, Shahzad Town, 
 Islamabad
</t>
  </si>
  <si>
    <t>700-000909</t>
  </si>
  <si>
    <t>ZAFAR IQBAL QADIR</t>
  </si>
  <si>
    <t>42301-0744971-5</t>
  </si>
  <si>
    <t>HOUSE NO. 15-A, ST. NO. 19, SECTOR F-6/3, ISLAMABAD</t>
  </si>
  <si>
    <t>0336-6663377</t>
  </si>
  <si>
    <t>700-000039</t>
  </si>
  <si>
    <t>MUHAMMAD ASHRAF KHAN</t>
  </si>
  <si>
    <t>HOUSE NO. B1, S1 - 37 MOHALLA CIVIL LINES TUFIAL SHAHEED RD SHEIKHUPURA</t>
  </si>
  <si>
    <t>0333-5166222</t>
  </si>
  <si>
    <t>800-00714</t>
  </si>
  <si>
    <t>MR. ADNAN KHURSHID</t>
  </si>
  <si>
    <t>35200-1449684-9</t>
  </si>
  <si>
    <t>PLOT NO.66, FLAT NO.1, I &amp; T CENTRE SECTOR G-10/1, ISLAMABAD</t>
  </si>
  <si>
    <t>0333-5125218</t>
  </si>
  <si>
    <t>700-000015</t>
  </si>
  <si>
    <t>DR. MUHAMMAD SHOAIB SUDDLE</t>
  </si>
  <si>
    <t>HOUSE NO. 271, ST NO. 148-A, D-12/4, ISLAMABAD</t>
  </si>
  <si>
    <t>0300-5005021</t>
  </si>
  <si>
    <t>COL ® RASHID AKHTAR SATTI</t>
  </si>
  <si>
    <t>37405-8093242-7</t>
  </si>
  <si>
    <t>HOUSE NO. 346, ST NO. 31, SECTOR -II GULSHANABAD ADIALA ROAD RAWALPINIDI</t>
  </si>
  <si>
    <t>0336-0559606</t>
  </si>
  <si>
    <t>FAZAL-E-RASUL</t>
  </si>
  <si>
    <t>HOUSE NO. 479, ST. NO. 107, SECTOR I-8/4, ISLAMABAD.</t>
  </si>
  <si>
    <t>0333-5130000</t>
  </si>
  <si>
    <t>MR. MUHAMMAD MISBAH TUNIO</t>
  </si>
  <si>
    <t>42301-0355499-7</t>
  </si>
  <si>
    <t>MUHAMMAD MISBAH TUNIO, MANAGING DIRECTOR NATIONAL SECURITY PRINTING COMPANY JINNAH AVENUE MALIR HART KARACHI</t>
  </si>
  <si>
    <t>0336-6896397</t>
  </si>
  <si>
    <t>800-00804</t>
  </si>
  <si>
    <t xml:space="preserve"> MANAGING DIRECTOR NATIONAL SECURITY PRINTING COMPANY JINNAH AVENUE MALIR HART KARACHI</t>
  </si>
  <si>
    <t>ARSHAD FAROOQ FAHEEM</t>
  </si>
  <si>
    <t>HOUSE NO. 11, ST NO. 10, SECTOR F-6/3, ISLAMABAD</t>
  </si>
  <si>
    <t>0300-5142946</t>
  </si>
  <si>
    <t>800-00761</t>
  </si>
  <si>
    <t>MRS. RUBINA AFROZ</t>
  </si>
  <si>
    <t>54303-1969308-6</t>
  </si>
  <si>
    <t>HOUSE NO.D-92, MOHALLA SATELLITE TOWN QUETTA</t>
  </si>
  <si>
    <t>0336-8857746</t>
  </si>
  <si>
    <t>YAHYA KHAN</t>
  </si>
  <si>
    <t>21702-6916751-7</t>
  </si>
  <si>
    <t>HOUSE NO. 346, ST NO. 14, SECTOR G-15/1, ISLAMABAD</t>
  </si>
  <si>
    <t>700-000125</t>
  </si>
  <si>
    <t>GHULAM DASTAGIR AKHTAR</t>
  </si>
  <si>
    <t>CHIEF SECRETARY GOVT. OF KPK PESHAWAR</t>
  </si>
  <si>
    <t>TASHFEEN KHAN</t>
  </si>
  <si>
    <t>HOUSE NO. 12, ST. NO. 47, MARVI ROAD, F-7/1, ISLAMABAD</t>
  </si>
  <si>
    <t>ZULIFQAR HUSSAIN</t>
  </si>
  <si>
    <t>61101-3528074-5</t>
  </si>
  <si>
    <t>HOUSE NO. 13, NAVEL HOUSING SCHEME PHASE-I, KARSAZ KARACHI</t>
  </si>
  <si>
    <t>0300-9129999</t>
  </si>
  <si>
    <t>700-000335</t>
  </si>
  <si>
    <t>TAHAWWAR AHMAD</t>
  </si>
  <si>
    <t>HOUSE NO.53, ST NO.02, PHAF OFFICERS RESIDENCIA KURRI ROAD ISLAMABAD</t>
  </si>
  <si>
    <t>0333-5553210</t>
  </si>
  <si>
    <t>700-000241</t>
  </si>
  <si>
    <t>MUHAMMAD SHIRAZ</t>
  </si>
  <si>
    <t>APARTMENT # 001, EXECUTIVE SUITES, NEAR F-11 MARKAZ, F-11/1, ISLAMABAD</t>
  </si>
  <si>
    <t>700-000366</t>
  </si>
  <si>
    <t>RANA ASSAD AMIN</t>
  </si>
  <si>
    <t>HOUSE NO. 297, ST NO. 28, PARK ENCLAVE/CDA PARK ROAD , OPPOSITE CHAK SHAHZAD</t>
  </si>
  <si>
    <t>0300-5543073</t>
  </si>
  <si>
    <t>700-000869</t>
  </si>
  <si>
    <t>SHAUKAT HAYAT DURRANI</t>
  </si>
  <si>
    <t>HOUSE NO. 57-K, STREET NO. 118, D-12/4, ISLAMABAD</t>
  </si>
  <si>
    <t>700-000152</t>
  </si>
  <si>
    <t>ABDUL GHANI SAMEEN</t>
  </si>
  <si>
    <t>HOUSE NO. 160, ST NO. 77, SECTOR E-11/2, ISLAMABAD</t>
  </si>
  <si>
    <t>MR. MOHAMMAD IJAZ KHAN</t>
  </si>
  <si>
    <t>61101-1993626-7</t>
  </si>
  <si>
    <t>HOUSE NO. 16, ST NO. 1, SECTOR F-6/3, ISLAMABAD</t>
  </si>
  <si>
    <t>0333-5111511</t>
  </si>
  <si>
    <t>800-00721</t>
  </si>
  <si>
    <t>MR. ASAD RAFI CHANDNA</t>
  </si>
  <si>
    <t>61101-5606278-7</t>
  </si>
  <si>
    <t>HOUSE NO.A-39, MOHALLAH DADA BHOY SOCIETY, SHAHEED E MILLAT ROAD KARACHI</t>
  </si>
  <si>
    <t>0321-2382999</t>
  </si>
  <si>
    <t>800-00744</t>
  </si>
  <si>
    <t>MRS. MEHREEN SIKANDAR</t>
  </si>
  <si>
    <t>35202-6832114-8</t>
  </si>
  <si>
    <t>HOUSE NO.123, ST NO.19, BLOCK OVERSEAS -A, MOHALLA EXECUTIVE LODGE, BAHRIA TOWN LAHORE</t>
  </si>
  <si>
    <t>0322-8445555</t>
  </si>
  <si>
    <t>700-000116</t>
  </si>
  <si>
    <t>ASIF BAJWA</t>
  </si>
  <si>
    <t>HOUSE NO. 39, ST NO. 37, SECTOR F-7/1, ISLAMABAD</t>
  </si>
  <si>
    <t>0308-5207845</t>
  </si>
  <si>
    <t>700-000273</t>
  </si>
  <si>
    <t>ABDUL SHAFIQ</t>
  </si>
  <si>
    <t>HOUSE NO.63, ST NO.03, PHA OFFICERS RESIDENCIA KURRI ROAD ISLAMABAD</t>
  </si>
  <si>
    <t>0302-5551060</t>
  </si>
  <si>
    <t>800-00624</t>
  </si>
  <si>
    <t>MR. FAZAL UR RAHMAN YOUSAF FAZLI</t>
  </si>
  <si>
    <t>61101-5370455-9</t>
  </si>
  <si>
    <t>HOUSE NO.10, AGHA KHAN ROAD F-6/4, ISLAMABAD</t>
  </si>
  <si>
    <t>0335-5121314</t>
  </si>
  <si>
    <t>MRS. KIRAN SAHIBA TAIMUR</t>
  </si>
  <si>
    <t>35201-1339023-0</t>
  </si>
  <si>
    <t>428-Q, BLOCK COMMERCIAL, PHASE-II, DHA GHAZI ROAD LAHORE CANNT</t>
  </si>
  <si>
    <t>800-00767</t>
  </si>
  <si>
    <t>MRS. SHAMA FARDOUS</t>
  </si>
  <si>
    <t>61101-6304086-4</t>
  </si>
  <si>
    <t>BAZAR ROAD, HOUSE NO.14, SECTOR G-6/4, ISLAMABAD</t>
  </si>
  <si>
    <t>0302-2618188</t>
  </si>
  <si>
    <t>700-000370</t>
  </si>
  <si>
    <t>RAO AMIN HASHIM</t>
  </si>
  <si>
    <t>HOUSE NO. 2, QURBAN LINES, NEAR SHER PAO BRIDGE JAIL ROAD LAHORE.</t>
  </si>
  <si>
    <t>NILL</t>
  </si>
  <si>
    <t>HUSHAM AHMED</t>
  </si>
  <si>
    <t>HOUSE NO. 42, ST NO. 136, SECTOR G-13/4, ISLAMABAD</t>
  </si>
  <si>
    <t>0321-5098230</t>
  </si>
  <si>
    <t>700-000051</t>
  </si>
  <si>
    <t>AHMED JAWAD</t>
  </si>
  <si>
    <t>HOUSE NO 19, STREET 48, F-8/4 ISLAMABAD</t>
  </si>
  <si>
    <t>700-000048</t>
  </si>
  <si>
    <t xml:space="preserve">SHEREEN GHIAS </t>
  </si>
  <si>
    <t>69/1-D PHASE 1 DHA LAHORE</t>
  </si>
  <si>
    <t>0333-4222006</t>
  </si>
  <si>
    <t>800-00729</t>
  </si>
  <si>
    <t>MIR AAMIR KHAN RIND</t>
  </si>
  <si>
    <t>53306-1321286-3</t>
  </si>
  <si>
    <t>RIND HOUSE RIND GHAR P.O DHADAR TEHSIL DISTRICT KICHI</t>
  </si>
  <si>
    <t>0333-3800333</t>
  </si>
  <si>
    <t>MASROOR AHMED KHAN</t>
  </si>
  <si>
    <t>61101-7516605-1</t>
  </si>
  <si>
    <t>HOUSE NO.32, ST NO.22-B, SECTOR G-10/2, ISLAMABAD</t>
  </si>
  <si>
    <t>0333-5482003</t>
  </si>
  <si>
    <t>BAKHTIAR MUHAMMAD</t>
  </si>
  <si>
    <t>HOUSE. NO. 6  STREET # 12, F-6/3 ISLAMABAD.</t>
  </si>
  <si>
    <t>700-000127</t>
  </si>
  <si>
    <t>JAVED IQBAL</t>
  </si>
  <si>
    <t>C/O MIAN MAHFOOZ GUL, PENT HOUSE NO. 03, PARK VIEW APPARTMENTS WARSAK ROAD PESHAWAR</t>
  </si>
  <si>
    <t>MRS. SAMAN SHUJA HUSSAIN</t>
  </si>
  <si>
    <t>61101-1732321-6</t>
  </si>
  <si>
    <t>HOUSE NO. 1172 ST NO. 111-A, SECTOR G-9/4, ISLAMABAD</t>
  </si>
  <si>
    <t>0343-5100094</t>
  </si>
  <si>
    <t>ADNAN KHURSHID</t>
  </si>
  <si>
    <t>House No. 530, St. No. 10, Sector G-10/1, Islamabad</t>
  </si>
  <si>
    <t>0300-5544441</t>
  </si>
  <si>
    <t>700-000965</t>
  </si>
  <si>
    <t>FAUZIA MAZHAR SANA</t>
  </si>
  <si>
    <t>HOUSE NO. 9, ST NO. 9, BAHRIA TOWN SAFARI VILLAS -I, RAWALPINDI</t>
  </si>
  <si>
    <t>BASHIR AHMAD KHAN</t>
  </si>
  <si>
    <t>82203-7169378-5</t>
  </si>
  <si>
    <t>HOUSE NO. 167, ST NO. 20 SECTOR F-11/2, ISLAMABAD</t>
  </si>
  <si>
    <t>0300-5282673</t>
  </si>
  <si>
    <t>700-000034</t>
  </si>
  <si>
    <t>ABID JAVED AKBAR</t>
  </si>
  <si>
    <t>HOUSE NO. 21, ST NO. 65, SECTOR I-8/3, ISLAMABAD</t>
  </si>
  <si>
    <t>0333-9920332</t>
  </si>
  <si>
    <t>800-00848</t>
  </si>
  <si>
    <t xml:space="preserve">Mrs. Soofia Sagheer, Mr. Asim Masood, Mr. Muhammad Anas Asim, 
Mr. Muhammad Ismail Asim, Ms. Khadija Asim, Mr. Murtaza Qadir, 
Mr. Ali Qadir &amp; Mr. Maaz Qadir
</t>
  </si>
  <si>
    <t>61101-1304713-4, 61101-1948278-3, 61101-8937471-5, 61101-7678015-5, 61101-5960560-6, 61101-7735171-5, 61101-9601322-3 &amp; 61101-4713778-7</t>
  </si>
  <si>
    <t xml:space="preserve">House No.885, Street No.34, 
 Sector G-10/1, Islamabad
</t>
  </si>
  <si>
    <t>0300-5108686</t>
  </si>
  <si>
    <t>SYED NASIR RAZA NAQVI</t>
  </si>
  <si>
    <t>HOUSE NO. 19, FIRST FLOOR MAIN NAZIMUDDIN ROAD, F-10/4, ISLAMABAD</t>
  </si>
  <si>
    <t>0300-5315456</t>
  </si>
  <si>
    <t>800-00830</t>
  </si>
  <si>
    <t>MRS. SHEZE HAROON QAZI</t>
  </si>
  <si>
    <t>61101-7552219-8</t>
  </si>
  <si>
    <t>HOUSE NO.04, ST NO.03, SECTOR F-7/3, ISLAMABAD</t>
  </si>
  <si>
    <t>32102-0954641-9</t>
  </si>
  <si>
    <t>DAKHANA KHAS PAYEGAH NO.2 TEHSIL &amp; DISTRICT DG KHAN</t>
  </si>
  <si>
    <t>0333-3349798</t>
  </si>
  <si>
    <t>800-00829</t>
  </si>
  <si>
    <t>MRS. ANUSHE IFTIKHAR</t>
  </si>
  <si>
    <t>33100-7848932-2</t>
  </si>
  <si>
    <t>HOUSE NO.16-K, MOHALLAH GULBERG-II, LAHORE</t>
  </si>
  <si>
    <t>SYED IMRAN ALI</t>
  </si>
  <si>
    <t>BAIT UL SAEED HOUSE NO. 6-A/II,  GOLF COURSE ROAD PHASE-IV, DHA KARACHI</t>
  </si>
  <si>
    <t>0300-2010878</t>
  </si>
  <si>
    <t>700-000973</t>
  </si>
  <si>
    <t>SHAHID HUSSAIN ASAD</t>
  </si>
  <si>
    <t>HOUSE NO.1139, ST NO.34, SECTOR-N, PHASE-6, DHA LAHORE</t>
  </si>
  <si>
    <t>0300-4160667</t>
  </si>
  <si>
    <t>800-00675</t>
  </si>
  <si>
    <t>MRS. SHABNAM AMIN</t>
  </si>
  <si>
    <t>54400-0442826-5</t>
  </si>
  <si>
    <t>HOUSE NO.08, ST NO.07, BLOCK-D, SOAN GARDENS ISLAMABAD</t>
  </si>
  <si>
    <t>0335-7669995</t>
  </si>
  <si>
    <t>M FARHAN FARUQUI</t>
  </si>
  <si>
    <t>HOUSE NO. 12, 39 DEEP WATER BAY ROAD, HONG KONG</t>
  </si>
  <si>
    <t>800-00609</t>
  </si>
  <si>
    <t>SYED SAJJAD HYDER, MS. NAHEED HYDER</t>
  </si>
  <si>
    <t>42000-0424054-3 &amp; 42301-5722209-8</t>
  </si>
  <si>
    <t>HOUSE NO. 66, KHAYABAN E BHUKHARI, PHASE VI, DHA KARACHI</t>
  </si>
  <si>
    <t>800-00746</t>
  </si>
  <si>
    <t>MR. SHAHID ASHRAF TARAR</t>
  </si>
  <si>
    <t>61101-0539694-5</t>
  </si>
  <si>
    <t>HOUSE NO.299-A, ST NO.42, SECTOR F-11/3, ISLAMABAD</t>
  </si>
  <si>
    <t>800-00644</t>
  </si>
  <si>
    <t>MRS. SAIMA USMAN</t>
  </si>
  <si>
    <t>37405-5305281-8</t>
  </si>
  <si>
    <t>HOUSE NO. 164-SD ASKARI COLONY NO.01 MULTAN CANTT MULTAN</t>
  </si>
  <si>
    <t>0300-8565223</t>
  </si>
  <si>
    <t>800-00771</t>
  </si>
  <si>
    <t>MR. MUHAMMAD NOMAN KHAN WAZIR</t>
  </si>
  <si>
    <t>17301-6185032-9</t>
  </si>
  <si>
    <t>HOUSE NO. 136, ST NO. 11, SECTOR -G PHASE-02 HAYATABAD PESHAWAR</t>
  </si>
  <si>
    <t>MOHAMMAD AZAM KHAN LODHI</t>
  </si>
  <si>
    <t>HOUSE NO. 31, ST NO. 56, SECTOR F-6/4, ISLAMAB AD</t>
  </si>
  <si>
    <t>0333-5143311</t>
  </si>
  <si>
    <t>700-000133</t>
  </si>
  <si>
    <t>MAJ (R) QAMAR ZAMAN CH</t>
  </si>
  <si>
    <t>HOUSE NO. 9, ST NO.41-A, SECTOR G-7/4, ISLAMABAD</t>
  </si>
  <si>
    <t>ROZEENA HUSSAIN</t>
  </si>
  <si>
    <t>HOUSE NO. 525, ST NO. 67, SECTOR I-8/3, ISLAMABAD</t>
  </si>
  <si>
    <t>800-00779</t>
  </si>
  <si>
    <t>MRS. RUKHSANA PARVEEN</t>
  </si>
  <si>
    <t>42301-8599999-4</t>
  </si>
  <si>
    <t>HOUSE NO.261, SECTOR-2, MOHALA WARD-3, KHALABAT TOWNSHIP ABBOTABAD</t>
  </si>
  <si>
    <t>0302-2083401</t>
  </si>
  <si>
    <t>700-000258</t>
  </si>
  <si>
    <t>AGHA SIKANDER ALI</t>
  </si>
  <si>
    <t>HOUSE NO. 75/1, KHAYABAN-E-SHUJAAT NEAR BAHRIA SHUJAAT TRAFFIC SIGNAL PHASE-V, DHA KARACHI</t>
  </si>
  <si>
    <t>0300-8388842</t>
  </si>
  <si>
    <t>800-00775</t>
  </si>
  <si>
    <t>MUHAMMAD ISMAIL</t>
  </si>
  <si>
    <t>36302-9036711-9</t>
  </si>
  <si>
    <t>HOUSE NO.737-J, SHAH RUKNE ALAM COLONY, MULTAN CITY DISTRICT MULTAN</t>
  </si>
  <si>
    <t>0331-3332359</t>
  </si>
  <si>
    <t>IMRAN KHALIQ KHAN</t>
  </si>
  <si>
    <t>HOUSE NO. 10, FAZALIA COLONY FEROZE PUR ROAD, LAHORE</t>
  </si>
  <si>
    <t>0344-4445869</t>
  </si>
  <si>
    <t>800-00762</t>
  </si>
  <si>
    <t>MRS. ASMA YAQOOB</t>
  </si>
  <si>
    <t>61101-1726972-2</t>
  </si>
  <si>
    <t>HOUSE NO. 93-A, ST NO. 53, SECTOR I-8/3, ISLAMABAD</t>
  </si>
  <si>
    <t>0321-5175818</t>
  </si>
  <si>
    <t>700-000384</t>
  </si>
  <si>
    <t>MHAMMAD JUNAID</t>
  </si>
  <si>
    <t>184 R DEFENCE HOUSING AUTHORITY PHASE II STREET 7 LAHORE</t>
  </si>
  <si>
    <t>700-000069</t>
  </si>
  <si>
    <t>MALIK NAVEED KHAN</t>
  </si>
  <si>
    <t>HOUSE NO. 624, STREET NO. 38, N.P.F, SECTOR E-11/3, ISLAMABAD</t>
  </si>
  <si>
    <t>0333-8599970</t>
  </si>
  <si>
    <t>CH. MUHAMMAD WASIQ</t>
  </si>
  <si>
    <t>42201-8375369-5</t>
  </si>
  <si>
    <t>HOUSE NO. 1, ST NO. 2, A.K BROHI ROAD, SECTOR G-11/1, ISLAMABAD</t>
  </si>
  <si>
    <t>0345-5154676</t>
  </si>
  <si>
    <t>700-000979</t>
  </si>
  <si>
    <t>ALI AKBAR SHAIKH</t>
  </si>
  <si>
    <t>HOUSE NO. 8-A, ST. NO. 61, F-7/4, ISLAMABAD</t>
  </si>
  <si>
    <t>MUHAMMAD ASLAM</t>
  </si>
  <si>
    <t>HOUSE NO. DK-61/25, ST NO. 01, BILAL COLONY SHAMSABAD FAROOQ-E-AZAM ROAD, RAWALPINDI</t>
  </si>
  <si>
    <t>0321-8585617</t>
  </si>
  <si>
    <t>MR. RAHMAN ALI KHAN</t>
  </si>
  <si>
    <t>16101-1258739-5</t>
  </si>
  <si>
    <t>HOUSE NO. 11-B, STREET NO. 31, F-8/1, ISLAMABAD</t>
  </si>
  <si>
    <t>0331-5577705</t>
  </si>
  <si>
    <t>700-000042</t>
  </si>
  <si>
    <t>AHMAD WAQAR</t>
  </si>
  <si>
    <t>HOUSE # 124 ST # 60 SECTOR I-8/3 ISLAMABAD</t>
  </si>
  <si>
    <t>SHAUKAT MAHMOOD</t>
  </si>
  <si>
    <t>61101-8414723-5</t>
  </si>
  <si>
    <t>HOUSE NO. 660, ST NO. 41, SECTOR E-11/3, ISLAMABAD</t>
  </si>
  <si>
    <t>800-00751</t>
  </si>
  <si>
    <t>MR. MUHAMMAD QAMBER ALI, MR. MUHAMMAD SALMAN HAIDER &amp; MR. MUHAMMAD INAYAT ALI</t>
  </si>
  <si>
    <t>34101-5607939-7, 34101-2682022-9 &amp; 34101-2672427-9</t>
  </si>
  <si>
    <t>HOUSE NO.756, BAHRIA PHASE-3, MAIN BULVEWARD, RAWALPINDI</t>
  </si>
  <si>
    <t>0322-8007312</t>
  </si>
  <si>
    <t>MUHAMMAD JAVAID AKHTAR</t>
  </si>
  <si>
    <t>38403-2077071-1</t>
  </si>
  <si>
    <t>HOUSE NO. 130, ST NO. 19, SECTOR F-11/2, ISLAMABAD</t>
  </si>
  <si>
    <t>0300-5300000</t>
  </si>
  <si>
    <t>MS. ANUSHA ABBAS KHAN, MS. NATASHA ABBAS KHAN</t>
  </si>
  <si>
    <t>61101-2386720-6 &amp; 61101-7205388-2</t>
  </si>
  <si>
    <t>0333-5474547</t>
  </si>
  <si>
    <t>OFFICER NAME</t>
  </si>
  <si>
    <t>POSTAL ADDRESS</t>
  </si>
  <si>
    <t>700-000788</t>
  </si>
  <si>
    <t>ASAD ULLAH SHEIKH</t>
  </si>
  <si>
    <t>91400-0345676-9</t>
  </si>
  <si>
    <t>HOUSE NO. 97, ST. NO. 32, OFF KHAYABAN E SEHAR, DEFENSE PHASE "V" EXT, KARACHI</t>
  </si>
  <si>
    <t>0333-2773339</t>
  </si>
  <si>
    <t>800-00805</t>
  </si>
  <si>
    <t>MR. MUSAWAIR KHAN, MR. KHUSHNOOD KHAN, MR. SALMAN KHAN, MS. EMAN RIAZ, MS. MARWA RIAZ, MS. SAFA RIAZ, MRS. KHADIJA TUL KUBRA, MRS. MOHSINA BIBI, MR. RAB NAWAZ KHAN</t>
  </si>
  <si>
    <t>11101-3254014-1, 11101-5012795-9, 11101-9392933-5, 61101-9310194-2, 61101-7426943-4, 61101-7435398-4, 61101-5666614-7, 11101-1430256-4 &amp; 11101-1525762-3</t>
  </si>
  <si>
    <t>HOUSE NO. 201, ST NO. 09, SECTOR G-15/3, ISLAMABAD</t>
  </si>
  <si>
    <t>0337-9720720</t>
  </si>
  <si>
    <t>700-001311</t>
  </si>
  <si>
    <t>SHEIKH ALEEM MAHMUD</t>
  </si>
  <si>
    <t>61101-3743410-9</t>
  </si>
  <si>
    <t>HOUSE NO. 35, ST NO. 63, SECTOR F-10/3, ISLAMABAD</t>
  </si>
  <si>
    <t>0300-5550777</t>
  </si>
  <si>
    <t>700-000756</t>
  </si>
  <si>
    <t>FAIZULLAH KHAN NIAZI</t>
  </si>
  <si>
    <t>61101-3999144-3</t>
  </si>
  <si>
    <t>HOUSE NO.204, ST NO.13, CATEGORY-II PHAF OFFICERS RESIDENCIA PROJECT KURRI ROAD ISLAMABAD</t>
  </si>
  <si>
    <t>0333-5488877</t>
  </si>
  <si>
    <t>700-000236</t>
  </si>
  <si>
    <t>FAZL I QADAR</t>
  </si>
  <si>
    <t>61101-7591540-5</t>
  </si>
  <si>
    <t>HOUSE NO. 75, ST. NO. 40, SECTOR I-8/2, ISLAMABAD</t>
  </si>
  <si>
    <t>0301-5651626</t>
  </si>
  <si>
    <t>800-00827</t>
  </si>
  <si>
    <t>MR. ABDUR REHMAN FAROOQ BUTT</t>
  </si>
  <si>
    <t>61101-0613216-5</t>
  </si>
  <si>
    <t>HOUSE NO.30, ST NO.59, SECTOR G-13/2, ISLAMABAD</t>
  </si>
  <si>
    <t>0301-5117180</t>
  </si>
  <si>
    <t>800-00835</t>
  </si>
  <si>
    <t>MS. AMBER UMAR</t>
  </si>
  <si>
    <t>61101-9342011-4</t>
  </si>
  <si>
    <t>SAIF UR REHMAN</t>
  </si>
  <si>
    <t>61101-0898426-3</t>
  </si>
  <si>
    <t>HOUSE NO. 73, ST NO. 35, SECTOR G-13/2, ISLAMABAD</t>
  </si>
  <si>
    <t>0333-5985777</t>
  </si>
  <si>
    <t>700-000137</t>
  </si>
  <si>
    <t>NURUL AIN HYDER NADEEM</t>
  </si>
  <si>
    <t>42000-0453685-2</t>
  </si>
  <si>
    <t>37/1/1, 10th Street, Khayaban e Bukhari, Opposite Misri Shah Darbar, DHA Phase VI, Karachi.</t>
  </si>
  <si>
    <t>0300-2102583</t>
  </si>
  <si>
    <t>700-000190</t>
  </si>
  <si>
    <t>AHSAN BASIR SHEIKH</t>
  </si>
  <si>
    <t>MAIN BOULEWARD</t>
  </si>
  <si>
    <t>61101-1973344-3</t>
  </si>
  <si>
    <t>HOUSE NO. 1065, ROAD - D, PHASE III, BAHRIA TOWN, RAWALPINDI/ISLAMABAD.</t>
  </si>
  <si>
    <t>0300-5105180</t>
  </si>
  <si>
    <t>700-000318</t>
  </si>
  <si>
    <t>FIDA HUSSAIN</t>
  </si>
  <si>
    <t>54400-0464047-5</t>
  </si>
  <si>
    <t>HOUSE NO. 118, LANE NO. 4, CHAKLALA SCHEME # 1, RAWALPINDI</t>
  </si>
  <si>
    <t>0333-9402006</t>
  </si>
  <si>
    <t>800-00766</t>
  </si>
  <si>
    <t>SHEIKH SULEMAN</t>
  </si>
  <si>
    <t>61101-9823969-1</t>
  </si>
  <si>
    <t>HOUSE NO.2-B, ST NO.35, SECTOR F-6/1, ISLAMABAD</t>
  </si>
  <si>
    <t>0333-337717</t>
  </si>
  <si>
    <t>MR. TAJAMMUL HUSSAIN</t>
  </si>
  <si>
    <t>131014-854455-7</t>
  </si>
  <si>
    <t>HOUSE NO.214, MAINBOULEVARD, PHA OFFICERS RESIDENCIA KURRI ROAD ISLAMABAD</t>
  </si>
  <si>
    <t>0334-8518935</t>
  </si>
  <si>
    <t>800-00813</t>
  </si>
  <si>
    <t>MRS. NADIA KHAN</t>
  </si>
  <si>
    <t>17301-7415434-8</t>
  </si>
  <si>
    <t>HOUSE NO.09, ST NO.47, SECTOR F-7/1, ISLAMABAD</t>
  </si>
  <si>
    <t>700-000848</t>
  </si>
  <si>
    <t>MUHAMMAD AZIM SABIR</t>
  </si>
  <si>
    <t>61101-1811208-3</t>
  </si>
  <si>
    <t>HOUSE NO. 97-C, ST. NO. 28, PWD HOUSING SOCIETY, ISLAMABAD</t>
  </si>
  <si>
    <t>0333-5558383</t>
  </si>
  <si>
    <t>800-00825</t>
  </si>
  <si>
    <t>MRS. ABIDA HASSAN, MS. ZAHRA HASAN &amp; MS. NAIN TARA</t>
  </si>
  <si>
    <t>61101-7443917-2, 61101-6212731-0 &amp; 61101-7453512-2</t>
  </si>
  <si>
    <t>HOUSE NO.218, MAIN BOULEVARD CATEGORY-II, PHAF OFFICERS RESIDENCIA KURRI ROAD ISLAMABAD</t>
  </si>
  <si>
    <t>0313-5165386</t>
  </si>
  <si>
    <t>700-000753</t>
  </si>
  <si>
    <t>GHULAM SHABBIR SHAIKH</t>
  </si>
  <si>
    <t>41303-3500641-9</t>
  </si>
  <si>
    <t>HOUSE NO. 170/2, KHAYABAN E SHUJAAT, PHASE "8", DHA KARACHI</t>
  </si>
  <si>
    <t>0303-3336777</t>
  </si>
  <si>
    <t>700-000136</t>
  </si>
  <si>
    <t>MUHAMMAD ARSHAD MALIK</t>
  </si>
  <si>
    <t>61101-7134487-1</t>
  </si>
  <si>
    <t>HOUSE NO. 26, ST. NO. 14-A, SECTOR "0-9", NATIONAL POLICE FOUNDATION, ISLAMABAD</t>
  </si>
  <si>
    <t>0345-5462940</t>
  </si>
  <si>
    <t>800-00700</t>
  </si>
  <si>
    <t>MR. MUHAMMAD ANWAR JAVAID CHEEMA</t>
  </si>
  <si>
    <t>61101-5197612-3</t>
  </si>
  <si>
    <t>HOUSE NO.06, LANE NO.09, DHA PHASE-II SECTOR-F ISLAMABAD</t>
  </si>
  <si>
    <t>0300-8509331</t>
  </si>
  <si>
    <t>MALIK MUSHTAQ AHMED</t>
  </si>
  <si>
    <t>37203-0262068-9</t>
  </si>
  <si>
    <t>HOUSE NO. 188, STREET NO. 53, SECTOR G-10/3, ISLAMABAD</t>
  </si>
  <si>
    <t>700-000299</t>
  </si>
  <si>
    <t>EJAZ ALI PIRZADA</t>
  </si>
  <si>
    <t>42301-2406728-9</t>
  </si>
  <si>
    <t>HOUSE NO. 70/II/I, 20TH STREET, KHAYABAN E HILAL, PHASE 6, DHA KARACHI</t>
  </si>
  <si>
    <t>0333-2151227</t>
  </si>
  <si>
    <t>700-001073</t>
  </si>
  <si>
    <t>AHMAD HANIF ORAKZAI</t>
  </si>
  <si>
    <t>13101-6465698-5</t>
  </si>
  <si>
    <t>1-A 2, FORT ROAD, PESHAWAR CANTT.</t>
  </si>
  <si>
    <t>0300-5922270</t>
  </si>
  <si>
    <t>MR. MUHAMMAD IQBAL</t>
  </si>
  <si>
    <t>61101-1760573-5</t>
  </si>
  <si>
    <t>HOUSE NO.225, STREET NO.17, PHA OFFICERS RESIDENCIA KURRI ROAD ISLAMABAD</t>
  </si>
  <si>
    <t>0333-5637799</t>
  </si>
  <si>
    <t>800-00665</t>
  </si>
  <si>
    <t>MR. ABDUL AZIZ KHAN</t>
  </si>
  <si>
    <t>61101-0820606-1</t>
  </si>
  <si>
    <t>HOUSE NO.1595, ST NO.40, SECTOR I-10/2, ISLAMABAD</t>
  </si>
  <si>
    <t>0345-8503880</t>
  </si>
  <si>
    <t>MRS. IQBALA AYUB</t>
  </si>
  <si>
    <t>61101-6121044-2</t>
  </si>
  <si>
    <t>HOUSE NO. 17-F, ST NO. 4, SECTOR G-6/3, ISLAMABAD</t>
  </si>
  <si>
    <t>0313-5650002</t>
  </si>
  <si>
    <t>SYED JEHANZEB SHAH</t>
  </si>
  <si>
    <t>61101-1902928-0</t>
  </si>
  <si>
    <t>98 H, MODEL TOWN LAHORE</t>
  </si>
  <si>
    <t>0302-4444444</t>
  </si>
  <si>
    <t>700-000305</t>
  </si>
  <si>
    <t>RIAZ AHMAD RANJHA</t>
  </si>
  <si>
    <t>61101-1830762-7</t>
  </si>
  <si>
    <t>16-ASKARI HOMES PAF ROAD SARGODHA</t>
  </si>
  <si>
    <t>0333-5187914</t>
  </si>
  <si>
    <t>700-000373</t>
  </si>
  <si>
    <t>ALLAH RAKHA ASI</t>
  </si>
  <si>
    <t>42301-8421564-3</t>
  </si>
  <si>
    <t>HOUSE NO. 266, BLOCK-B, VALENCIA TOWN, LAHORE</t>
  </si>
  <si>
    <t>0301-8224453</t>
  </si>
  <si>
    <t>700-000151</t>
  </si>
  <si>
    <t>MUKHTAR AHMED GONDAL</t>
  </si>
  <si>
    <t>35202-4341199-7</t>
  </si>
  <si>
    <t>HOUSE NO. 18, SECTOR "C", ST. NO. 42, PHASE - I, DHA LAHORE</t>
  </si>
  <si>
    <t>0300-9464745</t>
  </si>
  <si>
    <t>700-000140</t>
  </si>
  <si>
    <t>MR. KAISER NAWAZ JANJUA MRS. NUZHAT ASAD, MRS. HINA NAWAZ KHAN, MRS. SANA NAWAZ JANJUA</t>
  </si>
  <si>
    <t>37405-5120049-7</t>
  </si>
  <si>
    <t>25 NAGI ROAD, WESTRIDGE - 1, RAWALPINDI</t>
  </si>
  <si>
    <t>0300-8553928</t>
  </si>
  <si>
    <t>HOUSE NO.233, ST NO.17, PHAF OFFICERS RESIDENCIA PROJECT ISLAMABAD</t>
  </si>
  <si>
    <t>0333-5332215</t>
  </si>
  <si>
    <t>700-000828</t>
  </si>
  <si>
    <t>AKHTAR JAN WAZIR</t>
  </si>
  <si>
    <t>61101-1960971-9</t>
  </si>
  <si>
    <t>HOUSE NO. 2, CAT-II, ST. NO. 49, G-10/3, ISLAMABAD</t>
  </si>
  <si>
    <t>0321-5325876</t>
  </si>
  <si>
    <t>MR. NISAR AHMAD</t>
  </si>
  <si>
    <t>90403-0147357-7</t>
  </si>
  <si>
    <t>ST NO. 55, PLAZA NO.36, SHOP NO. 01, SECTOR G-9/4, ISLAMABAD</t>
  </si>
  <si>
    <t>0334-5064064</t>
  </si>
  <si>
    <t>UMER EJAZ</t>
  </si>
  <si>
    <t>33100-1645091-3</t>
  </si>
  <si>
    <t>DHL EXPRESS ABPARA ROAD I &amp; T CENTER ZARIN CHAMBERS ISLAMABAD</t>
  </si>
  <si>
    <t>0300-8276910</t>
  </si>
  <si>
    <t>700-000371</t>
  </si>
  <si>
    <t>MOHSIN RAZA</t>
  </si>
  <si>
    <t>61101-1847512-9</t>
  </si>
  <si>
    <t>APARTMENT NO. 1-C, BLOCK-5, ASKARI TOWER-1, DHA PHASE-II ISLAMABAD</t>
  </si>
  <si>
    <t>0333-5249062</t>
  </si>
  <si>
    <t>800-00826</t>
  </si>
  <si>
    <t>MRS. ZARA SAJJAD</t>
  </si>
  <si>
    <t>35301-2108241-2</t>
  </si>
  <si>
    <t>HOUSE NO.62, BLOCK-G, GULBERG-3, LAHORE</t>
  </si>
  <si>
    <t>0325-5329005</t>
  </si>
  <si>
    <t>MR. ASIF REHAN BUTT</t>
  </si>
  <si>
    <t>37405-8238216-5</t>
  </si>
  <si>
    <t>HOUSE NO. 132/J, RAILWAY SCHEME-1, CHAKLALA RAWALPINDI</t>
  </si>
  <si>
    <t>0300-5158399</t>
  </si>
  <si>
    <t>KHAIR MUHAMMAD</t>
  </si>
  <si>
    <t>42301-2933223-9</t>
  </si>
  <si>
    <t>FLAT NO. TP-11, 7TH FLOOR BLOCK-C MALL SQUARE ZAMZAMA STREET DHA PHASE-5, KARACHI-75500</t>
  </si>
  <si>
    <t>0331-2133700</t>
  </si>
  <si>
    <t>700-000810</t>
  </si>
  <si>
    <t>DR. JAVED HUMAYUN</t>
  </si>
  <si>
    <t>61101-5185775-5</t>
  </si>
  <si>
    <t>D-1002, SATELLITE TOWN, RAWALPINDI</t>
  </si>
  <si>
    <t>0333-5192766</t>
  </si>
  <si>
    <t>700-000779</t>
  </si>
  <si>
    <t>TAUQIR AHMED</t>
  </si>
  <si>
    <t>61101-2014191-7</t>
  </si>
  <si>
    <t>HOUSE NO. 67, ST. NO. 79, FECHS, E-11/2, ISLAMABAD.</t>
  </si>
  <si>
    <t>0320-2922460</t>
  </si>
  <si>
    <t>700-002014</t>
  </si>
  <si>
    <t>MRS. NAELA CHOHAN</t>
  </si>
  <si>
    <t>35200-6109725-0</t>
  </si>
  <si>
    <t>HOUSE NO.244, ST NO.16, PHAF OFFICERS RESIDENCIA KURRI ROAD PROJECT ISLAMABAD</t>
  </si>
  <si>
    <t>800-00777</t>
  </si>
  <si>
    <t>SYED MUHAMMAD NAWAZ GILANI &amp; MR. SHEHR YAR</t>
  </si>
  <si>
    <t>36302-6065506-5 &amp; 36303-0824075-7</t>
  </si>
  <si>
    <t>HOUSE NO.7-A, NEW SABZA ZAR COLONY, AL WAHID STREET BOSAN ROAD, MULTAN</t>
  </si>
  <si>
    <t>0300-6303511</t>
  </si>
  <si>
    <t>800-00789</t>
  </si>
  <si>
    <t>MR. AFTAB HABIB, &amp; MRS. SHOAIBA MANSOOR</t>
  </si>
  <si>
    <t>35202-2820662-5 &amp; 38403-2062737-0</t>
  </si>
  <si>
    <t>APARTMENT NO.1016, MARGALA HILS 01, SECTOR E-11/1, ISLAMABAD</t>
  </si>
  <si>
    <t>0300-4135335</t>
  </si>
  <si>
    <t>MRS. TASNIM WASEEM</t>
  </si>
  <si>
    <t>61101-1822875-4</t>
  </si>
  <si>
    <t>HOUSE NO. 431, ST NO. 4, SECTOR G-9/3, ISLAMABAD</t>
  </si>
  <si>
    <t>0300-8555577</t>
  </si>
  <si>
    <t>700-000675</t>
  </si>
  <si>
    <t>FARIDA AMJAD</t>
  </si>
  <si>
    <t>37405-7338546-0</t>
  </si>
  <si>
    <t>HOUSE NO. 31, ST. NO. 02, G-13/3, ISLAMABAD.</t>
  </si>
  <si>
    <t>0300-5264062</t>
  </si>
  <si>
    <t>ABDUL RAUF RAJA</t>
  </si>
  <si>
    <t>42301-1011028-3</t>
  </si>
  <si>
    <t>HOUSE NO. 7, STREET NO. 21, SECTOR-F, DHA-II ISLAMABAD</t>
  </si>
  <si>
    <t>0300-2801667</t>
  </si>
  <si>
    <t>0345-5951887</t>
  </si>
  <si>
    <t>800-00612</t>
  </si>
  <si>
    <t>MUHAMMAD IJAZ</t>
  </si>
  <si>
    <t>37405-2741583-3</t>
  </si>
  <si>
    <t>APARTMENT NO.K, BLOCK-7, DEFENCE COMPLEX ISLAMABAD (DCI)</t>
  </si>
  <si>
    <t>0300-5124241</t>
  </si>
  <si>
    <t>MR. ZIA HABIB</t>
  </si>
  <si>
    <t>37405-0272918-7</t>
  </si>
  <si>
    <t>HOUSE NO. SA-1089 ST NO. 01, SERVICE ROAD, SADIQABAD RAWALPINDI</t>
  </si>
  <si>
    <t>0334-8568567</t>
  </si>
  <si>
    <t>800-00857</t>
  </si>
  <si>
    <t>MR. MUHAMMAD SALEEM</t>
  </si>
  <si>
    <t>61101-2007619-5</t>
  </si>
  <si>
    <t>HOUSE NO.268-B, GALI NO.16, SECTOR G-6/2, ISLAMABAD</t>
  </si>
  <si>
    <t>0300-9729050</t>
  </si>
  <si>
    <t>700-000143</t>
  </si>
  <si>
    <t>MANZOOR AHMED</t>
  </si>
  <si>
    <t>61101-4797179-5</t>
  </si>
  <si>
    <t>HOUSE NO. 4, HAMZA ROAD F-11/2, ISLAMABAD</t>
  </si>
  <si>
    <t>0331-8880003</t>
  </si>
  <si>
    <t>800-00711</t>
  </si>
  <si>
    <t>MRS. SAIMA ILYAS</t>
  </si>
  <si>
    <t>35202-6801653-4</t>
  </si>
  <si>
    <t>HOUSE NO.P-229, MOHALLA FAISAL TOWN WEST KANAL ROAD TEHSIL &amp; DISTRICT FAISALABAD</t>
  </si>
  <si>
    <t>0300-9655501</t>
  </si>
  <si>
    <t>700-000693</t>
  </si>
  <si>
    <t>MUHAMMAD JAMIL BABAR</t>
  </si>
  <si>
    <t>17301-1229394-7</t>
  </si>
  <si>
    <t>1-A, CHINNAR ROAD, UNIVERSITY TOWN, PESHAWAR</t>
  </si>
  <si>
    <t>0345-9024411</t>
  </si>
  <si>
    <t>800-00790</t>
  </si>
  <si>
    <t>SYEDA MARYAM GILANI, SYEDA AYESHA HASAN GILANI, SYED FATIMA HASAN GILANI &amp; SYED OMER FAROOQ GILANI</t>
  </si>
  <si>
    <t>42501-3664076-8, 61101-4158374-2, 61101-4159229-2 &amp; 61101-7443261-7</t>
  </si>
  <si>
    <t>HOUSE NO.G-9, ST NO.48, SECTOR F-6/4, ISLAMABAD</t>
  </si>
  <si>
    <t>0334-5888860</t>
  </si>
  <si>
    <t>FARHAN YAQOOB RAJA</t>
  </si>
  <si>
    <t>61101-2095239-1</t>
  </si>
  <si>
    <t>HOUSE NO. 74, ST NO. 59, SECTOR I-8/3, ISLAMABAD</t>
  </si>
  <si>
    <t>800-00858</t>
  </si>
  <si>
    <t>MR. AAMER KHALID ABBASI</t>
  </si>
  <si>
    <t>91509-0151954-1</t>
  </si>
  <si>
    <t>54-BB COUNTRY CLUB APARTMENTS MANAGA, MURREE, DISTRICT RAWALPINDI</t>
  </si>
  <si>
    <t>0305-9792949</t>
  </si>
  <si>
    <t>800-00647</t>
  </si>
  <si>
    <t>MR. WAQAR EHSAN GHANI</t>
  </si>
  <si>
    <t>61101-7828699-9</t>
  </si>
  <si>
    <t>HOUSE NO.366, ST NO.21, SECTOR I-9/1, ISLAMABAD</t>
  </si>
  <si>
    <t>0333-5191305</t>
  </si>
  <si>
    <t>MRS. NASIM</t>
  </si>
  <si>
    <t>41203-1383031-6</t>
  </si>
  <si>
    <t>HOUSE NO. 57/3, ST NO. 16, KHAYABAN-E-BADBAN DHA-7, KARACHI WEST</t>
  </si>
  <si>
    <t xml:space="preserve">JALIL UR REHMAN </t>
  </si>
  <si>
    <t>12101-2588046-5</t>
  </si>
  <si>
    <t>HOUSE NO.8, ALLAHABAD ROAD, WESTRIDGE-III, RAWALPINDI</t>
  </si>
  <si>
    <t>0300-8383220</t>
  </si>
  <si>
    <t>800-00798</t>
  </si>
  <si>
    <t>MR. AMJAD ALI ARBAB</t>
  </si>
  <si>
    <t>17301-4139063-5</t>
  </si>
  <si>
    <t>NIAZ ABAD SECONDRY BOARD JAMROUD ROAD, PO SECONDRY BOARD PESHAWAR</t>
  </si>
  <si>
    <t>0300-5553581</t>
  </si>
  <si>
    <t>800-00723</t>
  </si>
  <si>
    <t>SARDAR ABDUL MOIZ</t>
  </si>
  <si>
    <t>61101-3027173-3</t>
  </si>
  <si>
    <t>HOUSE NO.508, STREET NO.132, SECTOR D-12/4, ISLAMABAD</t>
  </si>
  <si>
    <t>0334-5028992</t>
  </si>
  <si>
    <t>800-00849</t>
  </si>
  <si>
    <t>Mrs. Soofia Sagheer, Mr. Asim Masood, Mr. Muhammad Anas Asim, Mr. Muhammad Ismail Asim, Ms. Khadija Asim, Mr. Murtaza Qadir, Mr. Ali Qadir &amp; Mr. Maaz Qadir</t>
  </si>
  <si>
    <t>MUHAMMAD UMER FAROOQ CHEEMA</t>
  </si>
  <si>
    <t>34104-5975872-3</t>
  </si>
  <si>
    <t>0300-5147069</t>
  </si>
  <si>
    <t>700-000812</t>
  </si>
  <si>
    <t>LT. COL. (R) SIRAJ UL NAEEM</t>
  </si>
  <si>
    <t>61101-1969522-3</t>
  </si>
  <si>
    <t>HOUSE NO. 10, ST. NO. 14, SECTOR "H", DHA PHASE II, ISLAMABAD</t>
  </si>
  <si>
    <t>0300-5840117</t>
  </si>
  <si>
    <t>700-001434</t>
  </si>
  <si>
    <t>MAZHAR ALI KHAN</t>
  </si>
  <si>
    <t>35202-3383698-2</t>
  </si>
  <si>
    <t>HOUSE NO. 49-DD, ST NO. 01, DHA PHASE-IV, LAHORE</t>
  </si>
  <si>
    <t>0300-9444547</t>
  </si>
  <si>
    <t>800-00616</t>
  </si>
  <si>
    <t>MUHAMMAD AKHTAR NAWAZ</t>
  </si>
  <si>
    <t>61101-1977277-9</t>
  </si>
  <si>
    <t>DG HOUSE PAKISTAN SPORTS COMPLEX KASHMIR HIGHWAY SECTOR G-5, ISLAMABAD</t>
  </si>
  <si>
    <t>0300-8332431</t>
  </si>
  <si>
    <t>700-000307</t>
  </si>
  <si>
    <t>MUHAMMAD UMER MORIO</t>
  </si>
  <si>
    <t>42201-3596839-1</t>
  </si>
  <si>
    <t>HOUSE NO. 999, ST NO. 43, E-11/3, ISLAMABAD</t>
  </si>
  <si>
    <t>0300-8565877</t>
  </si>
  <si>
    <t>MR. MUHAMMAD SHAHZAD KHAN</t>
  </si>
  <si>
    <t>82301-9522088-9</t>
  </si>
  <si>
    <t>MOHALLAH CHAK SUB DIVISION ABBASS PUR DISTRICT POUNCH AJK</t>
  </si>
  <si>
    <t>0346-5200329</t>
  </si>
  <si>
    <t>SARDAR AMJAD YOUSAF KHAN</t>
  </si>
  <si>
    <t>61101-2079645-9</t>
  </si>
  <si>
    <t>HOUSE NO. 699, MAIN DOUBAL ROAD SECTOR G-11/1, ISLAMABAD</t>
  </si>
  <si>
    <t>0300-8552299</t>
  </si>
  <si>
    <t>800-00631</t>
  </si>
  <si>
    <t>MRS. RABIA EFFENDI</t>
  </si>
  <si>
    <t>61101-2458250-2</t>
  </si>
  <si>
    <t>HOUSE NO. 234, STEET NO. 23, SECTOR F-11/2, ISLAMABAD</t>
  </si>
  <si>
    <t>0332-8512572</t>
  </si>
  <si>
    <t>MUHAMMAD IRSHAD</t>
  </si>
  <si>
    <t>17101-0275139-1</t>
  </si>
  <si>
    <t>MODEC PRIVATE LTD, 7TH FLOOR EOBI HOUSE MAUVE AREA SECTOR G-10/4, ISLAMABAD</t>
  </si>
  <si>
    <t>0300-5922435</t>
  </si>
  <si>
    <t>800-00703</t>
  </si>
  <si>
    <t>MR. ABDUL GHAFOOR BALOCH</t>
  </si>
  <si>
    <t>35404-2935447-9</t>
  </si>
  <si>
    <t>HOUSE NO.43, ST NO.07, GAREEN AVENUE CHATHA BAKHTAWAR, ISLAMABAD</t>
  </si>
  <si>
    <t>0333-4214507</t>
  </si>
  <si>
    <t>HOUSE NO. 308, ST. NO. 1, PHASE "V", DHA, BLOCK 'E", LAHORE</t>
  </si>
  <si>
    <t>700-000238</t>
  </si>
  <si>
    <t>SYED MOHAMMAD HAMID</t>
  </si>
  <si>
    <t>35202-8624127-3</t>
  </si>
  <si>
    <t>176-C, MODEL TOWN LAHORE</t>
  </si>
  <si>
    <t>0321-4397074</t>
  </si>
  <si>
    <t>IHSAN ULLAH</t>
  </si>
  <si>
    <t>11101-1525767-3</t>
  </si>
  <si>
    <t>HOUSE NO. 6/9, INCOME TAX OFFICER COLONY NO. 2, CIVIC LINES RAWALPINDI</t>
  </si>
  <si>
    <t>0333-4095544</t>
  </si>
  <si>
    <t>SYED NADEEM HUSSAIN RIZVI</t>
  </si>
  <si>
    <t>42301-9808720-7</t>
  </si>
  <si>
    <t>HOUSE NO. 114/1, E-BLOCK ST NO. 21 SUI GAS SOCIETY LAHORE</t>
  </si>
  <si>
    <t>0321-8475053</t>
  </si>
  <si>
    <t>UZMA ANWAR</t>
  </si>
  <si>
    <t>42201-0349237-4</t>
  </si>
  <si>
    <t>HOUSE NO.11-A, ST NO.31, SECTOR F-8/1, ISLAMABAD</t>
  </si>
  <si>
    <t>0333-4441973</t>
  </si>
  <si>
    <t>800-00757</t>
  </si>
  <si>
    <t>MR. ATHAR FAHIM</t>
  </si>
  <si>
    <t>42301-4465503-1</t>
  </si>
  <si>
    <t>HOUSE NO.234, ST NO.23, SECTOR F-11/2, ISLAMABAD</t>
  </si>
  <si>
    <t>0322-5441399</t>
  </si>
  <si>
    <t>700-000346</t>
  </si>
  <si>
    <t>SHAHID MUNIR BARLAS</t>
  </si>
  <si>
    <t>61101-7719491-3</t>
  </si>
  <si>
    <t>HOUSE NO. 02, ST NO. 21-A, SECTOR-A, BAHRIA ENCLAVE ISLAMABAD</t>
  </si>
  <si>
    <t>0302-5713007</t>
  </si>
  <si>
    <t>800-00788</t>
  </si>
  <si>
    <t>MS. ALISHA ASHGAR</t>
  </si>
  <si>
    <t>61101-6349266-8</t>
  </si>
  <si>
    <t>HOUSE NO.356, ST NO.64, SECTOR I-8/3, ISLAMABAD</t>
  </si>
  <si>
    <t>0333-5130706</t>
  </si>
  <si>
    <t>800-00763</t>
  </si>
  <si>
    <t>MRS. FIZZA YAQOOB</t>
  </si>
  <si>
    <t>61101-4965687-4</t>
  </si>
  <si>
    <t>HOUSE NO. 93-A, ST. NO. 53, SECTOR I-8/3, ISLAMABAD</t>
  </si>
  <si>
    <t>SYED MURTAZA SHAH</t>
  </si>
  <si>
    <t>15701-8385127-9</t>
  </si>
  <si>
    <t>HOUSE NO.286, ST NO.07, PHA OFFICERS RESIDENCIA PROJECT ISLAMABAD</t>
  </si>
  <si>
    <t>0333-5445582</t>
  </si>
  <si>
    <t>700-000775</t>
  </si>
  <si>
    <t>JAVED AKHTAR</t>
  </si>
  <si>
    <t>61101-9322836-7</t>
  </si>
  <si>
    <t>HOUSE NO. 11, ST. NO. 01, BANI GALLA, ISLAMABAD</t>
  </si>
  <si>
    <t>0300-8566243</t>
  </si>
  <si>
    <t>800-00831</t>
  </si>
  <si>
    <t>MR. MUHAMMAD ALI YAFIS GARDEZI</t>
  </si>
  <si>
    <t>36302-5075833-1</t>
  </si>
  <si>
    <t>HOUSE NO.270, ST NO.08, SECTOR-E, ASKARI-10, LAHORE CANTT DISTRICT LAHORE</t>
  </si>
  <si>
    <t>0301-5589090</t>
  </si>
  <si>
    <t>800-00690</t>
  </si>
  <si>
    <t>MR. MUHAMMAD HASEEB ASLAM</t>
  </si>
  <si>
    <t>37405-4429495-5</t>
  </si>
  <si>
    <t xml:space="preserve"> HOUSE NO. DK-61/25, ST NO.01, MOHALLAH BILAL COLONY, SHAMSABAD FAROOQ E AZAM RAWALPINDI</t>
  </si>
  <si>
    <t>0320-5083183</t>
  </si>
  <si>
    <t>MRS. SHANDANA</t>
  </si>
  <si>
    <t>17301-1259524-4</t>
  </si>
  <si>
    <t xml:space="preserve">PHASE-I HAYAT ABAD MAKAN NO. 1-C, SECTOR E-I, PESHAWAR MAIN LALAZAR ROAD </t>
  </si>
  <si>
    <t>0334-9041148</t>
  </si>
  <si>
    <t>MRS. QURAT UL AIN ALTAF</t>
  </si>
  <si>
    <t>61101-5481820-2</t>
  </si>
  <si>
    <t>HOUSE NO. 38, ST NO. 101, SECTOR G-13/1, ISLAMABAD</t>
  </si>
  <si>
    <t>0333-5100544</t>
  </si>
  <si>
    <t>800-00769</t>
  </si>
  <si>
    <t>SARDAR HAMID MUMTAZ KHAN</t>
  </si>
  <si>
    <t>82303-9834470-4</t>
  </si>
  <si>
    <t>HOUSE NO.360, ST NO.166, SECTOR G-11/1, ISLAMABAD</t>
  </si>
  <si>
    <t>0347-5274252</t>
  </si>
  <si>
    <t>NAILA UMER</t>
  </si>
  <si>
    <t>61101-4966637-4</t>
  </si>
  <si>
    <t>700-000398</t>
  </si>
  <si>
    <t>MUHAMMAD ZAHID MEHMOOD</t>
  </si>
  <si>
    <t>61101-1772858-1</t>
  </si>
  <si>
    <t>HOUSE NO. 507-I, ST NO. 27 PARK ROAD PARK ENCLAVE ISLAMABAD</t>
  </si>
  <si>
    <t>0333-5297144</t>
  </si>
  <si>
    <t>MINA ZAINAB</t>
  </si>
  <si>
    <t>35202-2112503-6</t>
  </si>
  <si>
    <t>1-B, TOLLINTON GOR-I, LAHORE</t>
  </si>
  <si>
    <t>0333-4294953</t>
  </si>
  <si>
    <t>MOHAMMAD RAZA BAQIR</t>
  </si>
  <si>
    <t>35202-5891266-3</t>
  </si>
  <si>
    <t>HOUSE NO. 51/9 MOHALLAH LAWRENCE ROAD NURSERY LANE LAHORE</t>
  </si>
  <si>
    <t>0300-8882114</t>
  </si>
  <si>
    <t>800-00836</t>
  </si>
  <si>
    <t>MRS. NAYAB KHALID</t>
  </si>
  <si>
    <t>37405-3490166-4</t>
  </si>
  <si>
    <t>HOUSE NO.297, LANE NO.06, CAT-II, PHAF OFFICERS RESIDENCIA KURRI ROAD ISLAMABAD</t>
  </si>
  <si>
    <t>0302-5551058</t>
  </si>
  <si>
    <t>700-001002</t>
  </si>
  <si>
    <t>AFTAB ANWAR BALOCH</t>
  </si>
  <si>
    <t>42301-1106600-1</t>
  </si>
  <si>
    <t xml:space="preserve">NOOR MANZIL NEAR SHALIMAR COMPLEX, JUMANI ROAD OLD SUKKUR </t>
  </si>
  <si>
    <t>0323-5075558</t>
  </si>
  <si>
    <t>AZHAR SAEED MALIK</t>
  </si>
  <si>
    <t>61101-1986330-1</t>
  </si>
  <si>
    <t>HOUSE NO. 167, ST NO. 90, SECTOR E-11/2, ISLAMABAD</t>
  </si>
  <si>
    <t>0306-1951555</t>
  </si>
  <si>
    <t>MUHAMMAD AKBAR CHAUDHRY</t>
  </si>
  <si>
    <t>35202-2524423-5</t>
  </si>
  <si>
    <t>HOUSE NO. 16, COLLEGE BLOCK ALLAMA IQBAL TOWN LAHORE PAKISTAN</t>
  </si>
  <si>
    <t>0300-4200330</t>
  </si>
  <si>
    <t>700-002025</t>
  </si>
  <si>
    <t>JUSTICE SAHIB KHAN</t>
  </si>
  <si>
    <t>303-A</t>
  </si>
  <si>
    <t>71501-0206498-1</t>
  </si>
  <si>
    <t>CHIEF COURT KOWODASS, GILGIT</t>
  </si>
  <si>
    <t>0305-9443232</t>
  </si>
  <si>
    <t>MR. MUHAMMAD KHALID KHAN</t>
  </si>
  <si>
    <t>61101-0571441-3</t>
  </si>
  <si>
    <t>HOUSE NO. 268, STREET NO. 43, MARGALA TOWN PHASE-2, ISLAMABAD</t>
  </si>
  <si>
    <t>0333-5288102</t>
  </si>
  <si>
    <t>700-000686</t>
  </si>
  <si>
    <t>RAJA FAQIR ULLAH</t>
  </si>
  <si>
    <t>41303-7981031-3</t>
  </si>
  <si>
    <t>HOUSE NO. 9, HALI ROAD WESTRIDGE-I, CHUR HARPAL CHOWK RAWALPINDI CANTT</t>
  </si>
  <si>
    <t>0345-3575538</t>
  </si>
  <si>
    <t>700-000840</t>
  </si>
  <si>
    <t>QAMAR UZ ZAMAN CHAUDHRY</t>
  </si>
  <si>
    <t>38403-6365026-5</t>
  </si>
  <si>
    <t>HOUSE NO. 214/B, STREET NO. 34, F-10/1, ISLAMABAD</t>
  </si>
  <si>
    <t>0333-5141337</t>
  </si>
  <si>
    <t>800-00850</t>
  </si>
  <si>
    <t>MR. SABOO</t>
  </si>
  <si>
    <t>42301-4116081-9</t>
  </si>
  <si>
    <t>HOUSE NO.7/5-H, ST NO.52, SECTOR F-6/1, ISLAMABAD</t>
  </si>
  <si>
    <t>0335-5795625</t>
  </si>
  <si>
    <t>MUHAMMAD TAHIR BASHIR</t>
  </si>
  <si>
    <t>61101-5169555-7</t>
  </si>
  <si>
    <t>HOUSE NO. 56, CHAMAN ROAD, SECTOR G-8/2, ISLAMABAD</t>
  </si>
  <si>
    <t>0321-7274517</t>
  </si>
  <si>
    <t>700-001093</t>
  </si>
  <si>
    <t>NASEER AHMED GILLANI</t>
  </si>
  <si>
    <t>61101-8622283-3</t>
  </si>
  <si>
    <t>HOUSE NO. 65, ST. NO. 4, SECTOR I-8/1, ISLAMABAD</t>
  </si>
  <si>
    <t>0333-5123412</t>
  </si>
  <si>
    <t>ZIA HABIB</t>
  </si>
  <si>
    <t>HOUSE NO. SA-1089 ST NO. 01, SERVICE ROAD, SADIUABAD RAWALPINDI</t>
  </si>
  <si>
    <t>MR. MUHAMMAD JAFER MURTAZA &amp; MRS. AMBREEN JAFER</t>
  </si>
  <si>
    <t>37405-1500865-3
&amp; 
61101-1818443-0</t>
  </si>
  <si>
    <t>0344-5725429</t>
  </si>
  <si>
    <t>800-0000672</t>
  </si>
  <si>
    <t>MR. IJAZ HUSSAIN SHAH</t>
  </si>
  <si>
    <t>36302-2383842-3</t>
  </si>
  <si>
    <t>HOUSE NO.D-227, BLOCK-D, SATELLITE TOWN, NEAR ALFURQAN MASJID RAWALPINDI</t>
  </si>
  <si>
    <t>0300-9540708</t>
  </si>
  <si>
    <t>WAQAS ALTAF SHAH</t>
  </si>
  <si>
    <t>61101-0937510-5</t>
  </si>
  <si>
    <t>800-00851</t>
  </si>
  <si>
    <t>MS. FATIMA SHAH</t>
  </si>
  <si>
    <t>61101-2281071-0</t>
  </si>
  <si>
    <t>HOUSE NO.326-A, ST NO.17, SECTOR D-12/3, ISLAMABAD</t>
  </si>
  <si>
    <t>0345-5172472</t>
  </si>
  <si>
    <t>700-000813</t>
  </si>
  <si>
    <t>BRIG (R) MUHAMMAD MUSADDIQ</t>
  </si>
  <si>
    <t>42310-0915877-7</t>
  </si>
  <si>
    <t>HOUSE NO. 17, ST. NO. 10, SECTOR "C", DHA PHASE 2, ISLAMABAD</t>
  </si>
  <si>
    <t>700-000327</t>
  </si>
  <si>
    <t>ASIF NAWAZ</t>
  </si>
  <si>
    <t>35202-9962069-7</t>
  </si>
  <si>
    <t>HOUSE NO. 108, ST NO. 02, BLOCK-E, PHASE-VIII, DHA LAHORE</t>
  </si>
  <si>
    <t>0343-5111190</t>
  </si>
  <si>
    <t>800-00812</t>
  </si>
  <si>
    <t>700-001244</t>
  </si>
  <si>
    <t>MUHAMMAD NAEEM KHAN</t>
  </si>
  <si>
    <t>61101-4339208-7</t>
  </si>
  <si>
    <t>ASSISTANT SECRETARY GENERAL, OIC SECRETARIAT, JIDDAH C/O BAG SECTION MINISTRY OF FOREIGN AFFAIRS ISLAMABAD</t>
  </si>
  <si>
    <t>0301-5668417</t>
  </si>
  <si>
    <t>ASMAT ULLAH KHAN</t>
  </si>
  <si>
    <t>11101-1522078-1</t>
  </si>
  <si>
    <t>FLAT NO. 4/11, ST NO. 50 SECTOR F-6/4, ISLAMABAD</t>
  </si>
  <si>
    <t>0302-8548444</t>
  </si>
  <si>
    <t>MUHAMMAD IQBAL KHOSA</t>
  </si>
  <si>
    <t>61101-6001954-7</t>
  </si>
  <si>
    <t>HOUSE NO. 960, GALI NO. 26, SECTOR G-10/1, ISLAMABAD</t>
  </si>
  <si>
    <t>0322-8585520</t>
  </si>
  <si>
    <t>800-00655</t>
  </si>
  <si>
    <t>AHMAD HATAT BAJWA</t>
  </si>
  <si>
    <t>61101-7492372-5</t>
  </si>
  <si>
    <t>House No. 06, St # 19, Sector, F-7/2, Islamabad</t>
  </si>
  <si>
    <t>0345-8508552</t>
  </si>
  <si>
    <t>MALIK ABDUL KHALIL</t>
  </si>
  <si>
    <t>37203-8309698-5</t>
  </si>
  <si>
    <t>HOUSE NO. 3, MAIN STREET GHORI TOWN, PHASE-II, KHANNA EAST ISLAMABAD</t>
  </si>
  <si>
    <t>0321-8585328</t>
  </si>
  <si>
    <t>700-001004</t>
  </si>
  <si>
    <t>SHAH DIN SHEIKH</t>
  </si>
  <si>
    <t>35202-9561340-3</t>
  </si>
  <si>
    <t>49-A, HBFC, FAISAL TOWN LAHORE</t>
  </si>
  <si>
    <t>0300-8353727</t>
  </si>
  <si>
    <t>800-00704</t>
  </si>
  <si>
    <t>MR. HASSAN GHANI KHAN</t>
  </si>
  <si>
    <t>61101-3444407-9</t>
  </si>
  <si>
    <t>HOUSE NO.18, ST NO.39, SECTOR F-7/1, ISLAMABAD</t>
  </si>
  <si>
    <t>0333-1475512</t>
  </si>
  <si>
    <t>800-00696</t>
  </si>
  <si>
    <t>MR. MUHAMMAD HAIDER SULTAN</t>
  </si>
  <si>
    <t>35200-8552360-9</t>
  </si>
  <si>
    <t>HOUSE NO.P-161, MOHALLA GULBERG-2, LAHORE</t>
  </si>
  <si>
    <t>0322-4777567</t>
  </si>
  <si>
    <t>SHAHEEN</t>
  </si>
  <si>
    <t>42301-1457803-6</t>
  </si>
  <si>
    <t>HOUSE NO. D-72, BLOCK NO. 1, CLIFTON NEAR ZIAUDDIN HOSPITAL ADJ BEHBOD SCHOOL KARACHI</t>
  </si>
  <si>
    <t>0300-9218144</t>
  </si>
  <si>
    <t>700-001119</t>
  </si>
  <si>
    <t>ASHRAF QURESHI</t>
  </si>
  <si>
    <t>61101-6613531-1</t>
  </si>
  <si>
    <t>HOUSE NO. 354, FF, ST NO. 10, PHASE-4, DHA LAHORE</t>
  </si>
  <si>
    <t>0324-4154708</t>
  </si>
  <si>
    <t>MR. FAHAD MUNAWAR JAN</t>
  </si>
  <si>
    <t>27612-1100016-1</t>
  </si>
  <si>
    <t>HOUSE NO. 3799-E, FORT ROAD P. OGPO DERA ISMAIL KHAN 29050</t>
  </si>
  <si>
    <t>0333-9952002</t>
  </si>
  <si>
    <t>800-00649</t>
  </si>
  <si>
    <t>MRS. SAIMA IRUM</t>
  </si>
  <si>
    <t>61101-0335309-4</t>
  </si>
  <si>
    <t>HOUSE NO.54/6-C, SCHOOL ROAD SECTOR G-7/2, ISLAMABAD</t>
  </si>
  <si>
    <t>0333-50000051</t>
  </si>
  <si>
    <t>800-00634</t>
  </si>
  <si>
    <t xml:space="preserve">House No.DK-61/25, St No.01, Mohalla Bilal Colony,
Shamsabad Farooq-e-Azam Rawalpindi 
</t>
  </si>
  <si>
    <t>HOUSE NO. 362, ST. NO. 72, G-11/2, ISLAMABAD</t>
  </si>
  <si>
    <t>HOUSE NO. 65, ST NO. 96, SECTOR I-8/4, ISLAMABAD</t>
  </si>
  <si>
    <t>0300-5004603</t>
  </si>
  <si>
    <t>800-00687</t>
  </si>
  <si>
    <t>AGHA NAJEEB UR REHMAN</t>
  </si>
  <si>
    <t>61101-8989427-9</t>
  </si>
  <si>
    <t>HOUSE NO.22, ST NO.57, SECTOR G-6/4, ISLAMABAD</t>
  </si>
  <si>
    <t>0300-5209195</t>
  </si>
  <si>
    <t>ASIM ALTAF SHAH</t>
  </si>
  <si>
    <t>61101-0947010-5</t>
  </si>
  <si>
    <t>0345-5125192</t>
  </si>
  <si>
    <t>700-001302</t>
  </si>
  <si>
    <t>ARIF ALAUDDIN</t>
  </si>
  <si>
    <t>61101-1943020-3</t>
  </si>
  <si>
    <t>HOUSE NO. 1-B, ST. NO. 31, SECTOR F-8/1, ISLAMABAD</t>
  </si>
  <si>
    <t>0300-8548914</t>
  </si>
  <si>
    <t>700-001001</t>
  </si>
  <si>
    <t>MALIK AMANAT RASOOL</t>
  </si>
  <si>
    <t>336-A</t>
  </si>
  <si>
    <t>37405-2154802-5</t>
  </si>
  <si>
    <t>HOUSE NO.336-A, LANE NO.05 PHAF OFFICERS RESIDENCIA KURRI ROAD PROJECT ISLAMABAD</t>
  </si>
  <si>
    <t>0300-5128359</t>
  </si>
  <si>
    <t>MR. ABDUL MANNAN MINHAS &amp;
MR. ABDUL HANNAN MINHAS</t>
  </si>
  <si>
    <t>37405-5575138-9</t>
  </si>
  <si>
    <t>HOUSE NO. 36, LANE 1-C, JUDICIAL COLONY NEAR, GULZAR E QUAID, RAWALPINDI</t>
  </si>
  <si>
    <t>0300-9702210</t>
  </si>
  <si>
    <t>MRS. BASHIRAN BIBI</t>
  </si>
  <si>
    <t>34202-3671911-4</t>
  </si>
  <si>
    <t>HOUSE NO. 11, ST NO. 1, JOHAR COLONY KHARIAN CANTT DIST GUJRAT</t>
  </si>
  <si>
    <t>0300-8621299</t>
  </si>
  <si>
    <t>700-000471</t>
  </si>
  <si>
    <t>61101-7396098-7</t>
  </si>
  <si>
    <t>HOUSE NO. 118, ST. NO. 38, SECTOR I-9/4, ISLAMABAD</t>
  </si>
  <si>
    <t>0346-5048238</t>
  </si>
  <si>
    <t>700-000462</t>
  </si>
  <si>
    <t>SIBT E HASSAN</t>
  </si>
  <si>
    <t>61101-8859720-5</t>
  </si>
  <si>
    <t>HOUSE NO. 142, ST NO. 12, MODEL COLONY P/O RAJA TOWN, SHAMSABAD RAWALPINDI</t>
  </si>
  <si>
    <t>0332-5241259</t>
  </si>
  <si>
    <t>700-000150</t>
  </si>
  <si>
    <t>ABDUL GHAFFAR</t>
  </si>
  <si>
    <t>61101-1900385-3</t>
  </si>
  <si>
    <t>HOUSE NO. 706, STREET NO. 28, SECTOR-A, PHASE-5, DHA LAHORE</t>
  </si>
  <si>
    <t>0300-8508509</t>
  </si>
  <si>
    <t>MR. MUHAMMAD SAHIM SIDDIQUE</t>
  </si>
  <si>
    <t>36501-3436131-5</t>
  </si>
  <si>
    <t>H NO. 288 ST NO. 15 SECTOR G-15/4, KASHMIR HOUSING SOCIETY ISLAMABAD</t>
  </si>
  <si>
    <t>0300-5515714</t>
  </si>
  <si>
    <t>700-001314</t>
  </si>
  <si>
    <t>35200-0273933-1</t>
  </si>
  <si>
    <t>HOUSE NO. 422, BLOCK "B-2", JOHAR TOWN, LAHORE</t>
  </si>
  <si>
    <t>0300-9476997</t>
  </si>
  <si>
    <t>700-000999</t>
  </si>
  <si>
    <t>HAMID ALI ALVI</t>
  </si>
  <si>
    <t>61101-2011585-7</t>
  </si>
  <si>
    <t>HOUSE NO. 427, ST. NO. 28, SECTOR E-11/4, ISLAMABAD</t>
  </si>
  <si>
    <t>0333-5280680</t>
  </si>
  <si>
    <t>ARBAB ISHAQ HAMID</t>
  </si>
  <si>
    <t>17301-1668078-9</t>
  </si>
  <si>
    <t>VILLAGE &amp; P/O TEHKAL BALA MOHALLAH ARBAB RAZA KHAN TEHSIL &amp; DIST. PESHAWAR KPK</t>
  </si>
  <si>
    <t>0333-9123883</t>
  </si>
  <si>
    <t>700-001097</t>
  </si>
  <si>
    <t>SHAHID ULLAH BAIG</t>
  </si>
  <si>
    <t>71501-3018312-5</t>
  </si>
  <si>
    <t>HOUSE NO. 03, ST NO. 15, SECTOR - E DHA PHASE-I ISLAMABAD</t>
  </si>
  <si>
    <t>0301-8550061</t>
  </si>
  <si>
    <t>0336-3567567</t>
  </si>
  <si>
    <t>IJTABA HUSSAIN</t>
  </si>
  <si>
    <t>61101-1290384-9</t>
  </si>
  <si>
    <t>HOUSE NO. 190-E, ST. NO. 16, SECTOR G-6/2, ISLAMABAD</t>
  </si>
  <si>
    <t>0332-2882525</t>
  </si>
  <si>
    <t>MUDDASIR IKHTIAR QURESHI</t>
  </si>
  <si>
    <t>61101-1830358-1</t>
  </si>
  <si>
    <t>HOUSE NO. 510, STREET NO. 63, SECTOR G-9/4, ISLAMABAD</t>
  </si>
  <si>
    <t>0344-1400171</t>
  </si>
  <si>
    <t>16101-0641407-3</t>
  </si>
  <si>
    <t>FLAT NO. 405, IMPERIAL SQUARE SCHC LIMITED SECTOR E-11/2, ISLAMABAD</t>
  </si>
  <si>
    <t>0300-9688906</t>
  </si>
  <si>
    <t>700-000762</t>
  </si>
  <si>
    <t>35201-8658042-9</t>
  </si>
  <si>
    <t>90/8, ARIF JAN LAHORE CANTT</t>
  </si>
  <si>
    <t>0334-8888188</t>
  </si>
  <si>
    <t>MR. SHAH QIAZ KHAN</t>
  </si>
  <si>
    <t>61101-6879772-1</t>
  </si>
  <si>
    <t>H NO. 23, ST NO. 688 G-13/3 ISLAMABAD</t>
  </si>
  <si>
    <t>0345-5874400</t>
  </si>
  <si>
    <t>700-000968</t>
  </si>
  <si>
    <t>AZIZ UR REHMAN GONDAL</t>
  </si>
  <si>
    <t>38401-7789170-7</t>
  </si>
  <si>
    <t>249-C, ST. NO. 23, F-11/2, ISLAMABAD</t>
  </si>
  <si>
    <t>0313-9266092</t>
  </si>
  <si>
    <t>700-000919</t>
  </si>
  <si>
    <t>MUHAMMAD ISHFAQ KHATTAK</t>
  </si>
  <si>
    <t>37405-7382436-3</t>
  </si>
  <si>
    <t>HOUSE NO.848, ST NO.40, BLOCK-B, MULTI GARDENS OFF G.T. ROAD B-17 ISLAMABAD</t>
  </si>
  <si>
    <t>0322-9201777</t>
  </si>
  <si>
    <t>MRS. IRSHAD BUTT, HASHIM NIAZ, QASIM NIAZ</t>
  </si>
  <si>
    <t>61101-1768808-3</t>
  </si>
  <si>
    <t>HOUSE NO. 4, ST NO. 15-D/1, SECTOR-A, MARGALLA VILLAS BAHRIA ENCLAVE ISLAMABAD</t>
  </si>
  <si>
    <t>0334-5055253</t>
  </si>
  <si>
    <t>800-00791</t>
  </si>
  <si>
    <t>MR. MUHAMMAD SAAD BIN RIAZ</t>
  </si>
  <si>
    <t>61101-9319228-7</t>
  </si>
  <si>
    <t>QALANDER KHAN ROAD, BANI GALA MAKAN NO.01, ISLAMABAD</t>
  </si>
  <si>
    <t>0300-2144399</t>
  </si>
  <si>
    <t>800-00710</t>
  </si>
  <si>
    <t>MRS. NADIA AKRAM</t>
  </si>
  <si>
    <t>37405-9837658-0</t>
  </si>
  <si>
    <t>HOUSE NO.DK-61 26/59, ST NO.1, BILAL COLONY IQBAL LANE SHAMSABAD RAWALPINDI</t>
  </si>
  <si>
    <t>0300-9550901</t>
  </si>
  <si>
    <t>700-000807</t>
  </si>
  <si>
    <t>GULAB ZAMIR</t>
  </si>
  <si>
    <t>61101-1887025-7</t>
  </si>
  <si>
    <t>HOUSE NO. 49 ST NO. 15 SECTOR F-11/2, ISLAMABAD</t>
  </si>
  <si>
    <t>0300-8542865</t>
  </si>
  <si>
    <t>700-000783</t>
  </si>
  <si>
    <t>MUHAMMAD AFZAL BHATTI</t>
  </si>
  <si>
    <t>42301-2082981-5</t>
  </si>
  <si>
    <t>HOUSE NO. 21, MAIN DOUBLE ROAD SECTOR F-11/1, ISLAMABAD</t>
  </si>
  <si>
    <t>0333-2149484</t>
  </si>
  <si>
    <t>KHAWAJA AMMAD MASUD</t>
  </si>
  <si>
    <t>37405-0434404-5</t>
  </si>
  <si>
    <t>HOUSE NO.16, ST NO.14, LANE NO.6 SECTOR-F, DHA PHASE-2 ISLAMABAD</t>
  </si>
  <si>
    <t>0345-5566750</t>
  </si>
  <si>
    <t>800-00810</t>
  </si>
  <si>
    <t>MR. HASSAN AKRAM SHAHEEDI</t>
  </si>
  <si>
    <t>35201-7137696-3</t>
  </si>
  <si>
    <t>HOUSE NO.32, BLOCK-A, ST NO.11, SNOCHS ARAZI SEHJPAL LAHORE CANTT</t>
  </si>
  <si>
    <t>0302-8400031</t>
  </si>
  <si>
    <t>AURANGZEB MARRAL</t>
  </si>
  <si>
    <t>61101-1688090-3</t>
  </si>
  <si>
    <t>HOUSE NO. 21, ST NO. 13, CAT-I, SECTOR I-8/1, ISLAMABAD</t>
  </si>
  <si>
    <t>0300-5399144</t>
  </si>
  <si>
    <t>800-00697</t>
  </si>
  <si>
    <t>MR. MUHAMMAD MUNEEB SULTAN CHEEMA</t>
  </si>
  <si>
    <t>35200-6667989-1</t>
  </si>
  <si>
    <t>0321-8415850</t>
  </si>
  <si>
    <t>DR. FAREENA ZAHEER</t>
  </si>
  <si>
    <t>42301-9647453-0</t>
  </si>
  <si>
    <t>C-21 DARAKSHAN VILLAS PHASE-VI DHA KARACHI PAKISTAN</t>
  </si>
  <si>
    <t>0301-8271111</t>
  </si>
  <si>
    <t>800-00787</t>
  </si>
  <si>
    <t>MS. ANAMTAH ASGHAR</t>
  </si>
  <si>
    <t>61101-4627495-4</t>
  </si>
  <si>
    <t>HOUSE NO. 356, ST. NO. 64, I-8/3, ISLAMABAD</t>
  </si>
  <si>
    <t>MRS. ROHINA RAHAT, MRS. RAISA PARVEEN</t>
  </si>
  <si>
    <t>61101-1783116-4 &amp; 61101-1783113-0</t>
  </si>
  <si>
    <t>HOUSE NO.175, ST NO.33, SECTOR I-8/2, ISLAMABAD</t>
  </si>
  <si>
    <t>0321-5562882</t>
  </si>
  <si>
    <t>700-001240</t>
  </si>
  <si>
    <t>MIAN SALAHUDDIN</t>
  </si>
  <si>
    <t>35201-3378865-5</t>
  </si>
  <si>
    <t>19/4, SAHIBZADA ROAD, LAHORE</t>
  </si>
  <si>
    <t>0344-5516017</t>
  </si>
  <si>
    <t>MRS. ZUBINA KHAYYAM</t>
  </si>
  <si>
    <t>17301-5460637-6</t>
  </si>
  <si>
    <t>HOUSE NO. 03 ST NO. 03 FAZAIA COLONY RAWALPINDI</t>
  </si>
  <si>
    <t>0333-6661969</t>
  </si>
  <si>
    <t>NAVEED UR REHMAN</t>
  </si>
  <si>
    <t>61101-8781552-7</t>
  </si>
  <si>
    <t>HOUSE NO. 15, ST NO. 12, SECTOR G-13/3, ISLAMABAD</t>
  </si>
  <si>
    <t>0333-5573319</t>
  </si>
  <si>
    <t>800-00706</t>
  </si>
  <si>
    <t>MR. KASHIF RAMOOZ</t>
  </si>
  <si>
    <t>71201-2255765-5</t>
  </si>
  <si>
    <t>HOUSE NO.S-4/7, QJ HEIGHTS SAFARI VILLAS S-1 BAHRIA TOWN PHAS-1, ISLAMABAD</t>
  </si>
  <si>
    <t>0344-5064326</t>
  </si>
  <si>
    <t>ABDUL RAZZAQ</t>
  </si>
  <si>
    <t>61101-7046696-9</t>
  </si>
  <si>
    <t>HOUSE NO. 42, ST NO. 96, SECTOR I-8/4, ISLAMABAD</t>
  </si>
  <si>
    <t>0303-5576197</t>
  </si>
  <si>
    <t>700-000962</t>
  </si>
  <si>
    <t>SANAULLAH</t>
  </si>
  <si>
    <t>333032-759056-7</t>
  </si>
  <si>
    <t>0321-4258854</t>
  </si>
  <si>
    <t>700-000856</t>
  </si>
  <si>
    <t>SHAFIQ ULLAH</t>
  </si>
  <si>
    <t>17301-1531149-5</t>
  </si>
  <si>
    <t>HOUSE NO.10, ST NO.103, SECTOR G-13/1, ISLAMABAD</t>
  </si>
  <si>
    <t>0333-9256886</t>
  </si>
  <si>
    <t>800-00626</t>
  </si>
  <si>
    <t>MR. HIDAYAT UR REHMAN</t>
  </si>
  <si>
    <t>17102-3575263-1</t>
  </si>
  <si>
    <t>POST OFFICE DHAKI OPPOSITE SAHIB HAQ MASJID TEHSIL TANGI DISTRCIT CHARSADA</t>
  </si>
  <si>
    <t>0334-8842845</t>
  </si>
  <si>
    <t>800-00841</t>
  </si>
  <si>
    <t>MR. MANZAR ALAM KHAN</t>
  </si>
  <si>
    <t>42501-6805089-9</t>
  </si>
  <si>
    <t>FLAT NO.766, BLOCK-B, AYOOB COLONY UNIT NO.11, LATIFABAD DISTRICT HYDERABAD</t>
  </si>
  <si>
    <t>0333-02589418</t>
  </si>
  <si>
    <t>MUHAMMAD TAHIR</t>
  </si>
  <si>
    <t>11101-1481569-1</t>
  </si>
  <si>
    <t>HOUSE NO. 516, ST NO. 05, SECTOR C-4, PHASE-V, HAYATABAD PESHAWAR KPK</t>
  </si>
  <si>
    <t>0333-9737870</t>
  </si>
  <si>
    <t>700-000814</t>
  </si>
  <si>
    <t>MR. USMAN ZAKRIA</t>
  </si>
  <si>
    <t>61101-9816097-5</t>
  </si>
  <si>
    <t>HOUSE NO.24, SCHOOL ROAD, SECTOR F-6/3, ISLAMABAD</t>
  </si>
  <si>
    <t>0300-5007447</t>
  </si>
  <si>
    <t>800-00859</t>
  </si>
  <si>
    <t>MRS. NAHEED, MR. AFTAB AHMED, MS. SIDRA, MR. KAMRAN KHAN, MR. UMAR KHAN, MR. HAMZA KHAN</t>
  </si>
  <si>
    <t>61101-1890902-8, 61101-7918836-5, 61101-7204305-0, 61101-6648920-5, 61101-6150951-1, 61101-9871255-5</t>
  </si>
  <si>
    <t>HOUSE NO.15-E, LUQMAN HAKEEM ROAD, SECTOR G-7/3-2, ISLAMABAD</t>
  </si>
  <si>
    <t>0343-5206973</t>
  </si>
  <si>
    <t>700-000670</t>
  </si>
  <si>
    <t>RANA FATEH SHER</t>
  </si>
  <si>
    <t>53402-8155831-5</t>
  </si>
  <si>
    <t>2/10, ZAHOOR AFRIDI ROAD, LAHORE CANTT (CHANGE ON TELEPHONICALLY CONVERSATION ON 08-05-2014)</t>
  </si>
  <si>
    <t>0300-4674612</t>
  </si>
  <si>
    <t>700-000587</t>
  </si>
  <si>
    <t>MR. QAYUM NAZAR CHANGEZI</t>
  </si>
  <si>
    <t>42301-9381091-3</t>
  </si>
  <si>
    <t>75-B, GULISHAN TOWN ALAMDAR ROAD, QUETTA</t>
  </si>
  <si>
    <t>0334-0532444</t>
  </si>
  <si>
    <t>MR. MUHAMMAD SAEED AHMED CHAUDHARY</t>
  </si>
  <si>
    <t>61101-2823567-3</t>
  </si>
  <si>
    <t>HOUSE NO. 569, ST NO. 4, SHAHZAD TOWN, ISLAMABAD</t>
  </si>
  <si>
    <t>0333-5270888</t>
  </si>
  <si>
    <t>MR. ISHRAT ULLAH</t>
  </si>
  <si>
    <t>15503-2102738-1</t>
  </si>
  <si>
    <t>C/O M. YAQUB RAJA HOUSE NO. 93-A, ST NO. 53, SECTOR I-8/3, ISLAMABAD</t>
  </si>
  <si>
    <t>0343-9851031</t>
  </si>
  <si>
    <t>700-002053</t>
  </si>
  <si>
    <t>CH. KHADIM HUSSAIN</t>
  </si>
  <si>
    <t>61101-7700182-9</t>
  </si>
  <si>
    <t>HOUSE NO. 50, ST NO. 62, SECTOR F-10/3, ISLAMABAD</t>
  </si>
  <si>
    <t>0333-5138092</t>
  </si>
  <si>
    <t>800-00772</t>
  </si>
  <si>
    <t>MR. YASEEN LIAQAT ALI LANGAH</t>
  </si>
  <si>
    <t>61101-9647079-3</t>
  </si>
  <si>
    <t>FLAT NO.06, BLOCK NO.3-B, ST NO.03, SECTOR I-8/1, ISLAMABAD</t>
  </si>
  <si>
    <t>0345-5173903</t>
  </si>
  <si>
    <t>800-00806</t>
  </si>
  <si>
    <t>MR. HAMMAD SHAH</t>
  </si>
  <si>
    <t>71501-4418373-5</t>
  </si>
  <si>
    <t>HOUSE NO.143, STREET NO.36-C, SECTOR G-9/1, ISLAMABAD</t>
  </si>
  <si>
    <t>0334-5588404</t>
  </si>
  <si>
    <t>700-001024</t>
  </si>
  <si>
    <t>MR.ZAHOOR AHMED</t>
  </si>
  <si>
    <t>61101-2755143-5</t>
  </si>
  <si>
    <t>HOUSE NO.66-I, (New 27-I), St No.10, Sector F-6/3, Islamabad</t>
  </si>
  <si>
    <t>MUHAMMAD RAMZAN JAVED</t>
  </si>
  <si>
    <t>33100-1932304-5</t>
  </si>
  <si>
    <t>425-K, GULISTAN COLONY-1, FAISALABAD</t>
  </si>
  <si>
    <t>0333-6512742</t>
  </si>
  <si>
    <t>MRS. GHULAM SAKINA</t>
  </si>
  <si>
    <t>37405-0588411-4</t>
  </si>
  <si>
    <t>HOUSE NO. 65, STREET NO. 96, SECTOR I-8/4, ISLAMABAD</t>
  </si>
  <si>
    <t>0344-4244455</t>
  </si>
  <si>
    <t>MRS. NAGINA ZAHIR</t>
  </si>
  <si>
    <t>61101-2904000-2</t>
  </si>
  <si>
    <t>HOUSE NO.435, STREET NO.15, SHAHZAD TOWN, ISLAMABAD</t>
  </si>
  <si>
    <t>0333-5542609</t>
  </si>
  <si>
    <t>800-00815</t>
  </si>
  <si>
    <t>MR. REHMAT KARIM</t>
  </si>
  <si>
    <t>71502-4136075-3</t>
  </si>
  <si>
    <t>HOUSE NO.6442, ST NO.46, SECTOR G-9/1, ISLAMABAD</t>
  </si>
  <si>
    <t>0306-5154143</t>
  </si>
  <si>
    <t>700-000818</t>
  </si>
  <si>
    <t>MR. MUHAMMAD HAFEEZ</t>
  </si>
  <si>
    <t>61101-6482034-5</t>
  </si>
  <si>
    <t>HOUSE NO. 10, STREET NO. 14, BAHRIA ENCLAVE ISLAMABAD</t>
  </si>
  <si>
    <t>0331-5880007</t>
  </si>
  <si>
    <t>800-00694</t>
  </si>
  <si>
    <t>MRS. MEHROOSA KASHIF</t>
  </si>
  <si>
    <t>61101-9539352-6</t>
  </si>
  <si>
    <t>HOUSE NO.685, ST NO.06, SECTOR G-9/3, ISLAMABAD</t>
  </si>
  <si>
    <t>0334-5868307</t>
  </si>
  <si>
    <t>800-00615</t>
  </si>
  <si>
    <t>MR. MUHAMMAD ANWAR ALI SHAHID</t>
  </si>
  <si>
    <t>61101-1992000-5</t>
  </si>
  <si>
    <t>HOUSE NO.419, ST NO.30, PHA OFFICERS RESIDENCIA KURRI ROAD PROJECT ISLAMABAD</t>
  </si>
  <si>
    <t>0300-5947597</t>
  </si>
  <si>
    <t>800-00741</t>
  </si>
  <si>
    <t>MR. AMIR HUSSAIN</t>
  </si>
  <si>
    <t>61101-2265363-9</t>
  </si>
  <si>
    <t>HOUSE NO.617-B, SECTOR G-7/3-4, ISLAMABAD</t>
  </si>
  <si>
    <t>0300-5812118</t>
  </si>
  <si>
    <t>MR. MUHAMMAD FAROOQUE AHMED</t>
  </si>
  <si>
    <t>61101-2509397-5</t>
  </si>
  <si>
    <t>HOUSE NO. 569, STREET NO. 4, SHAHZAD TOWN ISLAMABAD</t>
  </si>
  <si>
    <t>0334-5004860</t>
  </si>
  <si>
    <t>MR. MUHAMMAD RIAZ KHAN</t>
  </si>
  <si>
    <t>11101-5537520-5</t>
  </si>
  <si>
    <t>HOUSE NO. 43, ST. NO. 17, SECTOR I-9/1, ISLAMABAD</t>
  </si>
  <si>
    <t>0300-9540294</t>
  </si>
  <si>
    <t>MR. MUHAMMAD NAVEED AKRAM</t>
  </si>
  <si>
    <t>33100-6619313-1</t>
  </si>
  <si>
    <t>H NO. 499-B, FAISAL TOWN LAHORE</t>
  </si>
  <si>
    <t>0333-6536728</t>
  </si>
  <si>
    <t>700-001377</t>
  </si>
  <si>
    <t>MR. AAMER MAHMOOD HUSSAIN</t>
  </si>
  <si>
    <t>35202-9598068-9</t>
  </si>
  <si>
    <t>HOUSE NO.662, STREET NO.18, SECTOR I-8/2, ISLAMABAD</t>
  </si>
  <si>
    <t>0300-4242829</t>
  </si>
  <si>
    <t>MRS. SHAFAIDAN BIBI</t>
  </si>
  <si>
    <t>37405-0588412-2</t>
  </si>
  <si>
    <t>0335-5117595</t>
  </si>
  <si>
    <t>MR. AWAIS MANZUR SUMRA</t>
  </si>
  <si>
    <t>61101-6164617-3</t>
  </si>
  <si>
    <t>HOUSE NO. 90, STREET NO. 52, SECTOR I-8/3, ISLAMABAD</t>
  </si>
  <si>
    <t>0300-0444888</t>
  </si>
  <si>
    <t>MR. KHUBAZ KHAN</t>
  </si>
  <si>
    <t>11101-1525767-7</t>
  </si>
  <si>
    <t>HOUSE NO. 201 ST NO. 09 KHEYABAN E KASHMIR HOUSING SOCIETY G-15/3 ISLAMABAD</t>
  </si>
  <si>
    <t>0333-9711281</t>
  </si>
  <si>
    <t>700-000621</t>
  </si>
  <si>
    <t>MR. ABID HUSSAIN NOTKANI</t>
  </si>
  <si>
    <t>61101-9404594-1</t>
  </si>
  <si>
    <t>BALOCHISTAN OFFICERS, FLAT NO.402, HANNAH ROAD SECTOR G-8/4, ISLAMABAD</t>
  </si>
  <si>
    <t>0333-5225782</t>
  </si>
  <si>
    <t>700-001068</t>
  </si>
  <si>
    <t>MR. MANZOOR ALI KHAN</t>
  </si>
  <si>
    <t>61101-1979748-7</t>
  </si>
  <si>
    <t>HOUSE NO. 8, ROAD NO. 2, SECTOR "C" BAHRIA ENCLAVE ISLAMABAD</t>
  </si>
  <si>
    <t>0333-2322699</t>
  </si>
  <si>
    <t>MR. MUHAMMAD ARSHAD</t>
  </si>
  <si>
    <t>37302-1202721-6</t>
  </si>
  <si>
    <t>C/O MUHAMMAD YAQUB HOUSE NO. 93-A, ST NO. 53, SECTOR I-8/3, ISLAMABAD</t>
  </si>
  <si>
    <t>0331-5619729</t>
  </si>
  <si>
    <t>MR. MUHAMMAD UMER FAROOQ</t>
  </si>
  <si>
    <t>35202-2208639-1</t>
  </si>
  <si>
    <t>0322-4493607</t>
  </si>
  <si>
    <t>700-000463</t>
  </si>
  <si>
    <t>MR. MASOOD FAROOQ KHAN</t>
  </si>
  <si>
    <t>12101-1439216-1</t>
  </si>
  <si>
    <t>HOUSE NO. 557, STREET NO. 14, SHAHZAD TOWN NEAR CHAKSHAHZAD, ISLAMABAD</t>
  </si>
  <si>
    <t>0344-9095152</t>
  </si>
  <si>
    <t>800-00620</t>
  </si>
  <si>
    <t>MR. MUHAMMAD NADEEM AKHTAR</t>
  </si>
  <si>
    <t>33302-2190378-7</t>
  </si>
  <si>
    <t>800-00628</t>
  </si>
  <si>
    <t>MR. JAVED IQBAL RAMAY</t>
  </si>
  <si>
    <t>61101-2733429-1</t>
  </si>
  <si>
    <t>FLAT NO. 3 BLOCK NO. 2 PHA FLATS G-8/4, ISLAMABAD</t>
  </si>
  <si>
    <t>0321-5172421</t>
  </si>
  <si>
    <t>700-002046</t>
  </si>
  <si>
    <t>MRS. NEELO FUR HAFEEZ</t>
  </si>
  <si>
    <t>61101-7344875-8</t>
  </si>
  <si>
    <t>HOUSE  NO.07, STREET NO.32, SECTOR F-8/1, ISLAMABAD</t>
  </si>
  <si>
    <t>0300-8490849</t>
  </si>
  <si>
    <t>700-002054</t>
  </si>
  <si>
    <t>MR. AFZAAL AHMAD AZAD</t>
  </si>
  <si>
    <t>61101-9855446-1</t>
  </si>
  <si>
    <t>HOUSE NO. 13-G, ST. NO. 12, F-6/3, ISLAMABAD</t>
  </si>
  <si>
    <t>0333-5211111</t>
  </si>
  <si>
    <t>700-001304</t>
  </si>
  <si>
    <t>MR. RIAZ AHMED</t>
  </si>
  <si>
    <t>34201-0561802-7</t>
  </si>
  <si>
    <t>PSP DIG ® ABDALI ROAD HOUSE B-1, TOGHI HOUSING SCHEME QUETTA CANTT</t>
  </si>
  <si>
    <t>0332-5556111</t>
  </si>
  <si>
    <t>800-00808</t>
  </si>
  <si>
    <t>MRS. RAFIA HAROON KASH (Through attorney) Rabia Fazli</t>
  </si>
  <si>
    <t>61101-2691526-4</t>
  </si>
  <si>
    <t>HOUSE NO.10 AGHA KHAN ROAD, F-6/4, ISLAMABAD</t>
  </si>
  <si>
    <t>0333-5121314</t>
  </si>
  <si>
    <t>700-000446</t>
  </si>
  <si>
    <t>MR. MUHAMMAD ZAHIR SHAH MOHMMAD</t>
  </si>
  <si>
    <t>61101-9393005-9</t>
  </si>
  <si>
    <t>MR. MUDASSER OWAIS SHAH</t>
  </si>
  <si>
    <t>441-A</t>
  </si>
  <si>
    <t>61101-9393100-9</t>
  </si>
  <si>
    <t>0333-5591678</t>
  </si>
  <si>
    <t>MR. MUDASSIR ABBAS SHAH</t>
  </si>
  <si>
    <t>611019-835104-1</t>
  </si>
  <si>
    <t>HOUSE NO.14, ST NO.19-C, SECTOR C-3, BAHRIA ENCLAVE, ISLAMABAD</t>
  </si>
  <si>
    <t>0345-5200926</t>
  </si>
  <si>
    <t>800-00784</t>
  </si>
  <si>
    <t>MR. AHMAR WAHEED</t>
  </si>
  <si>
    <t>61101-1980742-7</t>
  </si>
  <si>
    <t>HOUSE NO.247, ST NO.33, SECTOR G-10/1, ISLAMABAD</t>
  </si>
  <si>
    <t>0300-2131120</t>
  </si>
  <si>
    <t>MR. SAJJAD AHMAD</t>
  </si>
  <si>
    <t>37405-2423839-5</t>
  </si>
  <si>
    <t>HOUSE NO. 147/1, MAIN ROAD SHALLEY VALLEY RAWALPINDI CANTT</t>
  </si>
  <si>
    <t>0323-5230242</t>
  </si>
  <si>
    <t>800-00720</t>
  </si>
  <si>
    <t>MRS. SHAHNAZ SABA QURESHI</t>
  </si>
  <si>
    <t>61101-7709772-8</t>
  </si>
  <si>
    <t>HOUSE NO.445, ST NO.32, CATEGORY-III KURRI ROAD ISLAMABAD</t>
  </si>
  <si>
    <t>0333-5398615</t>
  </si>
  <si>
    <t>800-00861</t>
  </si>
  <si>
    <t>MR. SHER AYUB KHAN</t>
  </si>
  <si>
    <t>61101-3739537-7</t>
  </si>
  <si>
    <t>HOUSE NO.17, ST NO.04, SECTOR G-6/3, ISLAMABAD</t>
  </si>
  <si>
    <t>700-000697</t>
  </si>
  <si>
    <t>MR. MUHAMMAD AFZAL</t>
  </si>
  <si>
    <t>61101-1170848-3</t>
  </si>
  <si>
    <t>HOUSE NO. 5-D, ST NO. 09, UNIVERSITY TOWN METROPOLITAN PHULGRAN BHARA KAHU ISLAMABAD</t>
  </si>
  <si>
    <t>0333-5733338</t>
  </si>
  <si>
    <t>MR. QAISER MEHMOOD SHAHEEN</t>
  </si>
  <si>
    <t>34601-07927479</t>
  </si>
  <si>
    <t>HOUSE NO.448, ST NO.33, PHAF OFFICERS RESIDENCIA KURRI ROAD ISLAMABAD</t>
  </si>
  <si>
    <t>0334-8066590</t>
  </si>
  <si>
    <t>MRS. NAZIR BEGUM</t>
  </si>
  <si>
    <t>38401-0218046-4</t>
  </si>
  <si>
    <t>HOUSE NO. 644-D, ASKARI-10 NEAR ALLAMA IQBAL AIRPORT LAHORE CANTT</t>
  </si>
  <si>
    <t>0302-8707145</t>
  </si>
  <si>
    <t>800-00780</t>
  </si>
  <si>
    <t>MR. SAAD BIN RAFIQ</t>
  </si>
  <si>
    <t>31303-2590979-5</t>
  </si>
  <si>
    <t>HOUSE NO.541, MAIN AHMED FARAZ ROAD, SECTOR F-10/2, ISLAMABAD</t>
  </si>
  <si>
    <t>0321-6707370</t>
  </si>
  <si>
    <t>800-00728</t>
  </si>
  <si>
    <t>MR. FAKHRUL AMIN</t>
  </si>
  <si>
    <t>17102-1289293-1</t>
  </si>
  <si>
    <t>PO SAME SHER PAO TEHSILTANG DISTRICT CHARSADA PAKISTAN</t>
  </si>
  <si>
    <t>0330-5916118</t>
  </si>
  <si>
    <t>800-00749</t>
  </si>
  <si>
    <t>MR. SHAHZAMAN KHAN UTMANZAI</t>
  </si>
  <si>
    <t>61101-4507095-3</t>
  </si>
  <si>
    <t>MARGALLA TOWN PHASE-1, HOUSE NO.335, STREET NO.04, ISLAMABAD</t>
  </si>
  <si>
    <t>0336-8433805</t>
  </si>
  <si>
    <t>700-002048</t>
  </si>
  <si>
    <t>MR. MUHAMMAD SARWAR AWAN</t>
  </si>
  <si>
    <t>61101-180982-5</t>
  </si>
  <si>
    <t>HOUSE NO. 52, GROUND FLOOR ST NO. 96, SECTOR I-8/4, ISLAMABAD</t>
  </si>
  <si>
    <t>0333-5218520</t>
  </si>
  <si>
    <t>MR. ARBAB ISHAQ HAMID</t>
  </si>
  <si>
    <t>VILLAGE &amp; POST OFFICE TEHKAL BALAL KANDI ARBAB RAZA TEHSIL &amp; DIST PESHAWAR</t>
  </si>
  <si>
    <t>800-00752</t>
  </si>
  <si>
    <t>MR. NISAR AHMAD LANGAH</t>
  </si>
  <si>
    <t>HOUSE NO.364, ST NO.89, SECTOR G-9/4, ISLAMABAD</t>
  </si>
  <si>
    <t>MALIK ATTA MUHAMMAD</t>
  </si>
  <si>
    <t>61101-9994643-5</t>
  </si>
  <si>
    <t>FLAT NO. 03, BLOCK NO. 05, IESCO FLAT SECTOR G-9/2, ISLAMABAD</t>
  </si>
  <si>
    <t>0333-5100620</t>
  </si>
  <si>
    <t>700-002035</t>
  </si>
  <si>
    <t>MR. MUHAMMAD ZAFARULLAH KHAN</t>
  </si>
  <si>
    <t>61101-2441794-5</t>
  </si>
  <si>
    <t>HOUSE NO.1217, STREET NO. 92, SECTOR I-10/1, ISLAMABAD</t>
  </si>
  <si>
    <t>0333-5195853</t>
  </si>
  <si>
    <t>700-000172</t>
  </si>
  <si>
    <t>MR. MUHAMMAD ANWAR</t>
  </si>
  <si>
    <t>61101-8334773-3</t>
  </si>
  <si>
    <t>HOUSE NO.50, STREET NO.15, SECTOR F-11/2, ISLAMABAD</t>
  </si>
  <si>
    <t>0333-5216971</t>
  </si>
  <si>
    <t>MR. NASIR ILYAS</t>
  </si>
  <si>
    <t>17201-2185236-7</t>
  </si>
  <si>
    <t>DY. CHIEF PROCUREMENT OFFICE SCM DEPARTMENT 1ST FLOOR OGDCL HOUSE JINNAH AVENUE ISLAMABAD</t>
  </si>
  <si>
    <t>0333-5959337</t>
  </si>
  <si>
    <t>700-000844</t>
  </si>
  <si>
    <t>DR. AKHTAR NAZIR</t>
  </si>
  <si>
    <t>35202-0465794-3</t>
  </si>
  <si>
    <t>HOUSE NO. 20, SCHOOL ROAD F-6/3, ISLAMABAD</t>
  </si>
  <si>
    <t>0300-4110298</t>
  </si>
  <si>
    <t>MR. SAMI ULLAH</t>
  </si>
  <si>
    <t>54400-2848970-3</t>
  </si>
  <si>
    <t>HOUSE NO.B-2, WHITE ROAD, QUETTA, BALUCHISTAN</t>
  </si>
  <si>
    <t>0321-8006880</t>
  </si>
  <si>
    <t>700-000624</t>
  </si>
  <si>
    <t>MUHAMMAD YASIN JANJUA</t>
  </si>
  <si>
    <t>37405-0426969-1</t>
  </si>
  <si>
    <t>HOUSE NO.NE-2093, STREET NO.15, MOHALLAH SULTAN PURA, RAWALPINDI</t>
  </si>
  <si>
    <t>0333-5310112</t>
  </si>
  <si>
    <t>800-00735</t>
  </si>
  <si>
    <t>MR. UMAIR MAHMOOD SIDDIQUI</t>
  </si>
  <si>
    <t>17201-2761186-9</t>
  </si>
  <si>
    <t>HOUSE NO.75/1-A, ASCHS, NOWSHERA CANTT</t>
  </si>
  <si>
    <t>0346-5330626</t>
  </si>
  <si>
    <t>800-00731</t>
  </si>
  <si>
    <t>MR. MUHAMMAD SALMAN AFZAL KHAN, &amp; MR. ABDUL RAHMAN</t>
  </si>
  <si>
    <t>61101-1760196-3 &amp; 27661-1101582-1</t>
  </si>
  <si>
    <t>HOUSE NO.263-E, ST NO.12, SECTOR G-6/2, ISLAMABAD</t>
  </si>
  <si>
    <t>0317-5800900</t>
  </si>
  <si>
    <t>800-00692</t>
  </si>
  <si>
    <t>MRS. ILMA SYED</t>
  </si>
  <si>
    <t>37405-9922338-2</t>
  </si>
  <si>
    <t>HOUSE NO.233, ST NO.75, SECTOR G-9/3, ISLAMABAD</t>
  </si>
  <si>
    <t>0345-5415472</t>
  </si>
  <si>
    <t>800-00816</t>
  </si>
  <si>
    <t>MR. IJLAL HAIDER</t>
  </si>
  <si>
    <t>61101-6083566-7</t>
  </si>
  <si>
    <t>HOUSE NO.43, ST NO.3, SECTOR-1, CHAK SHAHZAD KURRI ROAD ISLAMABAD</t>
  </si>
  <si>
    <t>0333-1918603</t>
  </si>
  <si>
    <t>800-00846</t>
  </si>
  <si>
    <t>MRS. RUBINA SHAHEEN</t>
  </si>
  <si>
    <t>61101-4862939-6</t>
  </si>
  <si>
    <t>HOUSE NO.2/5-C, STREET NO.43, SECTOR G-7/2, ISLAMABAD</t>
  </si>
  <si>
    <t>0333-5644416</t>
  </si>
  <si>
    <t>800-00748</t>
  </si>
  <si>
    <t>MR. MEHMOOD MIRZA</t>
  </si>
  <si>
    <t>61101-8237701-7</t>
  </si>
  <si>
    <t>EMBASSY ROAD, HOUSE NO.677/2-F, ST NO.82, SECTOR G-6/4, ISLAMABAD</t>
  </si>
  <si>
    <t>0331-6617275</t>
  </si>
  <si>
    <t>MR. MUHAMMAD ABID QURESHI</t>
  </si>
  <si>
    <t>61101-1747598-1</t>
  </si>
  <si>
    <t>HOUSE NO.470, ST NO.28-B, PHA OFFICERS RESIDENCIA KURRI PROJECT ISLAMABAD</t>
  </si>
  <si>
    <t>0333-5518440</t>
  </si>
  <si>
    <t>700-002039</t>
  </si>
  <si>
    <t>MR. MUHAMMAD SHAMIM WAZIR</t>
  </si>
  <si>
    <t>61101-1902710-3</t>
  </si>
  <si>
    <t>HOUSE NO. 41, SREET URBAN BOULEVARD SECTOR-A, BAHRIA ENCLAVE ISLAMABAD (Telephonically Change)</t>
  </si>
  <si>
    <t>0333-5174702</t>
  </si>
  <si>
    <t>MS. NOOR UL HUDA IBRAHIM</t>
  </si>
  <si>
    <t>61101-4656979-0</t>
  </si>
  <si>
    <t>HOUSE NO.65, ST NO.96, SECTOR I-8/4,ISLAMABAD</t>
  </si>
  <si>
    <t>800-00838</t>
  </si>
  <si>
    <t>17301-1630814-9</t>
  </si>
  <si>
    <t>HOUSE NO.212, PROFESSOR COLONY, NEAR AGRICULTURE UNIVERSITY PESHAWAR</t>
  </si>
  <si>
    <t>0300-5878093</t>
  </si>
  <si>
    <t>800-00786</t>
  </si>
  <si>
    <t>MR. MUHAMMAD SHAHID</t>
  </si>
  <si>
    <t>31102-8258373-1</t>
  </si>
  <si>
    <t>HOUSE NO.2-D, OFFICERS COLONY NARC PARK ROAD, ISLAMABAD</t>
  </si>
  <si>
    <t>0300-9689097</t>
  </si>
  <si>
    <t>700-001170</t>
  </si>
  <si>
    <t>MR. MASOOD ANWAR</t>
  </si>
  <si>
    <t>61101-4279612-7</t>
  </si>
  <si>
    <r>
      <rPr>
        <sz val="11"/>
        <color theme="1"/>
        <rFont val="Calibri"/>
        <family val="2"/>
        <scheme val="minor"/>
      </rPr>
      <t xml:space="preserve">H NO. 190-N PHASE-6, DHA LAHORE  </t>
    </r>
    <r>
      <rPr>
        <b/>
        <sz val="11"/>
        <color theme="1"/>
        <rFont val="Calibri"/>
        <family val="2"/>
        <scheme val="minor"/>
      </rPr>
      <t>(masood.anwar@gmail.com)</t>
    </r>
  </si>
  <si>
    <t>0315-8553364</t>
  </si>
  <si>
    <t>700-002034</t>
  </si>
  <si>
    <t>MR. NAEEM AZID</t>
  </si>
  <si>
    <t>61101-8166002-7</t>
  </si>
  <si>
    <t>HOUSE NO.476, ST NO.28-B, PHA OFFICERS RESIDENCIA KURRI ROAD PROJECT ISLAMABAD</t>
  </si>
  <si>
    <t>0343-6449559</t>
  </si>
  <si>
    <t>800-00783</t>
  </si>
  <si>
    <t>MRS. LAIL U MAH AFTAB QURESHI</t>
  </si>
  <si>
    <t>61101-3548216-8</t>
  </si>
  <si>
    <t>HOUSE NO.03, ST NO.17, NAVAL ANCHORAGE ISLAMABAD</t>
  </si>
  <si>
    <t>0345-5887514</t>
  </si>
  <si>
    <t>800-00781</t>
  </si>
  <si>
    <t>MR. ABDULLAH SAEED</t>
  </si>
  <si>
    <t>SAIWAY RESIDENCE HOUSE NO.204-D, F-11/1, ISLAMABAD</t>
  </si>
  <si>
    <t>0345-8504060</t>
  </si>
  <si>
    <t>800-00834</t>
  </si>
  <si>
    <t>FLAT NO.B-16, EXECUTIVE HEIGHTS SECTOR F-11, ISLAMABAD</t>
  </si>
  <si>
    <t>0333-0259418</t>
  </si>
  <si>
    <t>HAFIZ ABID MASOOD</t>
  </si>
  <si>
    <t>34301-6073867-3</t>
  </si>
  <si>
    <t>HOUSE NO. 821, STREET NO. 13, SECTOR G-11/1, ISLAMABAD</t>
  </si>
  <si>
    <t>0335-0547269</t>
  </si>
  <si>
    <t>MR. ALI JAVED</t>
  </si>
  <si>
    <t>35202-5267258-1</t>
  </si>
  <si>
    <t>HOUSE NO. 61-B, C-1, GULBERG-III, LAHORE</t>
  </si>
  <si>
    <t>0322-4714595</t>
  </si>
  <si>
    <t>700-002026</t>
  </si>
  <si>
    <t>DR. ALI BAT KHAN</t>
  </si>
  <si>
    <t>12101-6676746-9</t>
  </si>
  <si>
    <t>MR. HUMAYUN NAZIR AHMAD</t>
  </si>
  <si>
    <t>37405-5561554-3</t>
  </si>
  <si>
    <t>RESIDENT OF HOUSE NO. 811-F, SATELITE TOWN RAWALPINDI</t>
  </si>
  <si>
    <t>0333-5272368</t>
  </si>
  <si>
    <t>700-001028</t>
  </si>
  <si>
    <t>299-A, STREET NO.42, SECTOR F-11/3 ISLAMABAD</t>
  </si>
  <si>
    <t>800-00823</t>
  </si>
  <si>
    <t>CH. MUHAMMAD JUNAID AKHTAR</t>
  </si>
  <si>
    <t>61101-9167163-9</t>
  </si>
  <si>
    <t>HOUSE NO.298, SOAN ROAD, SECTOR G-10/1, ISLAMABAD</t>
  </si>
  <si>
    <t>0333-5131084</t>
  </si>
  <si>
    <t>700-000980</t>
  </si>
  <si>
    <t>HOUSE NO.17-F, STREET NO.4 SECTOR G-6/3, ISLAMABAD</t>
  </si>
  <si>
    <t>0333-5704948</t>
  </si>
  <si>
    <t>MR. MUHAMMAD HAYAT</t>
  </si>
  <si>
    <t>61101-8311021-1</t>
  </si>
  <si>
    <t>HOUSE NO.80/2-D, ST NO. 32, SECTOR F-6/1, ISLAMABAD</t>
  </si>
  <si>
    <t>0333-5112281</t>
  </si>
  <si>
    <t>700-000603</t>
  </si>
  <si>
    <t>MR. IQBAL AHMAD</t>
  </si>
  <si>
    <t>61101-1989312-5</t>
  </si>
  <si>
    <t>HOUSE NO. 336, ST NO. 146, D-12/4, ISLAMABAD</t>
  </si>
  <si>
    <t>0300-5381474</t>
  </si>
  <si>
    <t>700-000612</t>
  </si>
  <si>
    <t>MR. TARIQ MAHMOOD MAZARI</t>
  </si>
  <si>
    <t>35201-5748088-9</t>
  </si>
  <si>
    <t>HOUSE NO.368-W, DHA LAHORE CANTT.</t>
  </si>
  <si>
    <t>0333-4703766</t>
  </si>
  <si>
    <t>700-000600</t>
  </si>
  <si>
    <t>MR. JAM BASHIR AHMED</t>
  </si>
  <si>
    <t>35200-1285999-3</t>
  </si>
  <si>
    <t>HOUSE NO.195-IC-1, TOWN SHIP LAHORE</t>
  </si>
  <si>
    <t>0334-4241811</t>
  </si>
  <si>
    <t>800-00740</t>
  </si>
  <si>
    <t>MR. NAUMAN ZAFAR KHAN</t>
  </si>
  <si>
    <t>61101-5871030-7</t>
  </si>
  <si>
    <t>HOUSE NO.493, LANE NO.28, PHAF OFFICERS RESIDENCIA KURRI ROAD ISLAMABAD</t>
  </si>
  <si>
    <t>0300-5345508</t>
  </si>
  <si>
    <t>MR. KHALID MEHMOOD</t>
  </si>
  <si>
    <t>37101-1724061-7</t>
  </si>
  <si>
    <t>HOUSE NO. 4, LANE-A, OSAMA STREET DEFFANCE ROAD NEW LALAZAR RAWALPINDI</t>
  </si>
  <si>
    <t>0321-5227425</t>
  </si>
  <si>
    <t>HOUSE NO.407, ST NO.30, PHA OFFICERS RESIDENCIA KURRI ROAD ISLAMABAD</t>
  </si>
  <si>
    <t>0300-5555641</t>
  </si>
  <si>
    <t>MR. MUHAMMAD SAAD SIJJAD PARACHA</t>
  </si>
  <si>
    <t>37302-4805007-7</t>
  </si>
  <si>
    <t>MOHALLAH PARACHGAN, DHARALA JALAP, TEHSIL PIND DADAN KHAN, DIST. JEHLUM</t>
  </si>
  <si>
    <t>800-00699</t>
  </si>
  <si>
    <t>MR. AMJAD HUSSAIN</t>
  </si>
  <si>
    <t>61101-1924761-5</t>
  </si>
  <si>
    <t>HOUSE NO.274, MAIN ROAD NO.3, SECTOR G-15/2, ISLAMABAD</t>
  </si>
  <si>
    <t>0345-5111504</t>
  </si>
  <si>
    <t>MR. PERVEZ SAEED</t>
  </si>
  <si>
    <t>61101-3928804-7</t>
  </si>
  <si>
    <t>HOUSE NO. 198, STREET QUEENS PARK ROAD GREENS AVENUE CHATTAH BAKHTAWAR ISLAMABAD</t>
  </si>
  <si>
    <t>0321-8585768</t>
  </si>
  <si>
    <t>800-00619</t>
  </si>
  <si>
    <t>MR. YASIR CHAUDHARY</t>
  </si>
  <si>
    <t>33104-2162182-1</t>
  </si>
  <si>
    <t>CHAK NO. 117, G-B, WEST YASIR WALA DISTRICT FAISALABAD</t>
  </si>
  <si>
    <t>0334-0001100</t>
  </si>
  <si>
    <t>RANA IMRAN ALI</t>
  </si>
  <si>
    <t>34102-7446556-1</t>
  </si>
  <si>
    <t>HOUSE NO. 08, STREET NO. 18, DHA PHASE-II, ISLAMABAD</t>
  </si>
  <si>
    <t>0300-8486679</t>
  </si>
  <si>
    <t>700-001008</t>
  </si>
  <si>
    <t>MR. AIJAZ AHMED MEMON</t>
  </si>
  <si>
    <t>42301-9870977-7</t>
  </si>
  <si>
    <t>DS FLAT NO.42, BLOCK-07 GOR-I, BATH ISLAND, CLIFTON KARACHI</t>
  </si>
  <si>
    <t>0302-3397976</t>
  </si>
  <si>
    <t>800-00800</t>
  </si>
  <si>
    <t>MR. USAMA OBAID</t>
  </si>
  <si>
    <t>61101-6035963-5</t>
  </si>
  <si>
    <t>HOUSE NO. 05, ST NO. 18, SECTOR G-13/3, ISLAMABAD</t>
  </si>
  <si>
    <t>0336-7000690</t>
  </si>
  <si>
    <t>700-001228</t>
  </si>
  <si>
    <t>MR. ABDUL KARIM</t>
  </si>
  <si>
    <t>35202-7179274-3</t>
  </si>
  <si>
    <t>D-4, AUDIT COLONY GULBERG-III, LAHORE</t>
  </si>
  <si>
    <t>0345-4071638</t>
  </si>
  <si>
    <t>700-001106</t>
  </si>
  <si>
    <t>DR. MUHAMMAD AFZAL</t>
  </si>
  <si>
    <t>35202-1370667-5</t>
  </si>
  <si>
    <t>DIRECTOR GENERAL JACC, PLANNING COMMISSION, P-BLOCK, ISLAMABAD</t>
  </si>
  <si>
    <t>0300-8539621</t>
  </si>
  <si>
    <t>800-00718</t>
  </si>
  <si>
    <t>37405-5321811-9</t>
  </si>
  <si>
    <t>HOUSE NO.81, ST NO.13, MOHALLA MARGALLA TOWN, PHASE-I, ISLAMABAD</t>
  </si>
  <si>
    <t>0321-5168720</t>
  </si>
  <si>
    <t>800-00727</t>
  </si>
  <si>
    <t>MRS. MOMENA ADNAN</t>
  </si>
  <si>
    <t>13101-9675033-2</t>
  </si>
  <si>
    <t>HOUSE NO.31, SCHOOL ROAD, SECTOR F-7/1, ISLAMABAD</t>
  </si>
  <si>
    <t>0301-8544441</t>
  </si>
  <si>
    <t>700-000747</t>
  </si>
  <si>
    <t>MR. IFTIKHAR HOSSAIN</t>
  </si>
  <si>
    <t>35202-9551883-9</t>
  </si>
  <si>
    <t>51/A, MAYO GARDEN LAHORE</t>
  </si>
  <si>
    <t>0300-4617146</t>
  </si>
  <si>
    <t>800-00651</t>
  </si>
  <si>
    <t>MR. ALI KHAN ARBAB</t>
  </si>
  <si>
    <t>17301-1684372-9</t>
  </si>
  <si>
    <t>HUJRA ARBAB, MAJID ULLAH KHAN TEHKAL BALA KHAN ABAD PESHAWAR</t>
  </si>
  <si>
    <t>0321-9044546</t>
  </si>
  <si>
    <t>SARDAR MUNAWAR ZAMAN</t>
  </si>
  <si>
    <t>13101-103233-9</t>
  </si>
  <si>
    <t>HOUSE NO. 4, ST NO. 80, SECTOR G-6/4, ISLAMABAD</t>
  </si>
  <si>
    <t>CHAUDHRY NAVEED NAZIR AHMED</t>
  </si>
  <si>
    <t>37405-0313336-3</t>
  </si>
  <si>
    <t>811-F, SATELLITE TOWN, RAWALPINDI</t>
  </si>
  <si>
    <t>800-00833</t>
  </si>
  <si>
    <t>MR. FARHAN HUSSAIN SHAMIM</t>
  </si>
  <si>
    <t>61101-5096406-5</t>
  </si>
  <si>
    <t>HOUSE NO.513, ST NO.13, PHA OFFICERS RESIDENCIA KURRI ROAD ISLAMABAD</t>
  </si>
  <si>
    <t>0333-5131082</t>
  </si>
  <si>
    <t>MR. TAFAKHAR ALI ASDI</t>
  </si>
  <si>
    <t>54400-2467054-1</t>
  </si>
  <si>
    <t>HOUSE NO.36, FEDERAL LODGES-II, SECTOR G-5/1, ISLAMABAD</t>
  </si>
  <si>
    <t>0321-4933555</t>
  </si>
  <si>
    <t>700-000816</t>
  </si>
  <si>
    <t>MRS. GHAYOOR SULTANA</t>
  </si>
  <si>
    <t>61101-8377503-4</t>
  </si>
  <si>
    <t xml:space="preserve">HOUSE NO. 143, ST NO. 8, SECTOR E-11/2, ISLAMABAD </t>
  </si>
  <si>
    <t>0345-5174745</t>
  </si>
  <si>
    <t>700-002008</t>
  </si>
  <si>
    <t>MR. KHAQAN BABAR</t>
  </si>
  <si>
    <t>35202-6593922-5</t>
  </si>
  <si>
    <t>HOUSE NO.12, COLLEGE ROAD,GOR-I LAHORE</t>
  </si>
  <si>
    <t>0313-7567856</t>
  </si>
  <si>
    <t>MR. MAHMOOD AHMAD</t>
  </si>
  <si>
    <t>33100-8073866-9</t>
  </si>
  <si>
    <t>HOUSE NO. 21, STREET NO. 48, SECTOR F-8/4, ISLAMABAD</t>
  </si>
  <si>
    <t>0300-5082767</t>
  </si>
  <si>
    <t>800-00652</t>
  </si>
  <si>
    <t>MR. RAISE AHMED</t>
  </si>
  <si>
    <t>42301-8036656-1</t>
  </si>
  <si>
    <t>HOUSE NO.17-B, MEHMOOD ABAD ROAD DHA PHASE-I, KARACHI</t>
  </si>
  <si>
    <t>0300-2283526</t>
  </si>
  <si>
    <t>700-000714</t>
  </si>
  <si>
    <t>MR. MUHAMMAD ARSHAD SULTAN</t>
  </si>
  <si>
    <t>61101-1860744-1</t>
  </si>
  <si>
    <t>HOUSE NO. 422, ST NO. 22, CBR TOWN, C BLOCK PHASE-1, ISLAMABAD</t>
  </si>
  <si>
    <t>0322-5322587</t>
  </si>
  <si>
    <t>800-00755</t>
  </si>
  <si>
    <t>MR. GHAZANFAR IQBAL</t>
  </si>
  <si>
    <t>61101-2011686-3</t>
  </si>
  <si>
    <t>HOUSE NO.461, ST NO.11, SECTOR G-10/2, ISLAMABAD</t>
  </si>
  <si>
    <t>0300-5502959</t>
  </si>
  <si>
    <t>MRS. SHAHEENA PARVEEN</t>
  </si>
  <si>
    <t>61101-3364592-8</t>
  </si>
  <si>
    <t>HOUSE NO. 155-D, ST NO. 56, SECTOR G-6/4, ISLAMABAD</t>
  </si>
  <si>
    <t>0300-9781002</t>
  </si>
  <si>
    <t>800-00774</t>
  </si>
  <si>
    <t>MR. BILAL ANWAR SADAT AWAN</t>
  </si>
  <si>
    <t>61101-1998585-7</t>
  </si>
  <si>
    <t>HOUSE NO.3, ST NO.01, SHAHZAD TOWN NIH, ISLAMABAD</t>
  </si>
  <si>
    <t>0333-5145618</t>
  </si>
  <si>
    <t>800-00738</t>
  </si>
  <si>
    <t>MR. MUHAMMAD ZEESHAN TARIQ</t>
  </si>
  <si>
    <t>61101-2010769-3</t>
  </si>
  <si>
    <t>HOUSE NO.4-A, BLOCK NO.05, MOHALLA KAHKASHAN BANGLOS, CLIFTION KARACHI</t>
  </si>
  <si>
    <t>0346-5209617</t>
  </si>
  <si>
    <t>800-00756</t>
  </si>
  <si>
    <t>MR. NADEEM NASIR</t>
  </si>
  <si>
    <t>35201-1593041-9</t>
  </si>
  <si>
    <t>ASKARI-14, HOUSE NO.612, ST NO.14, RAWALPINDI</t>
  </si>
  <si>
    <t>0300-5062480</t>
  </si>
  <si>
    <t>MR. SAQIB HUSSAIN</t>
  </si>
  <si>
    <t>61101-5176253-5</t>
  </si>
  <si>
    <t>HOUSE NO.519, STREET NO.19, SECTOR "J", DHA-II, ISLAMABAD</t>
  </si>
  <si>
    <t>0333-5146922</t>
  </si>
  <si>
    <t>700-000510</t>
  </si>
  <si>
    <t>MR. AGHA MOHTASIM BASHIR</t>
  </si>
  <si>
    <t>35201-4334220-1</t>
  </si>
  <si>
    <t>289-S, PHASE-II, DHA LAHORE CANTT.</t>
  </si>
  <si>
    <t>0300-4260133</t>
  </si>
  <si>
    <t>800-00712</t>
  </si>
  <si>
    <t>MR. IFTIKHAR AHMAD BHATTI</t>
  </si>
  <si>
    <t>61101-1831241-7</t>
  </si>
  <si>
    <t>HOUSE NO.169, ST NO.6 BLOCK-A PWD HOUSING SOCIETY ISLAMABAD</t>
  </si>
  <si>
    <t>0314-5324468</t>
  </si>
  <si>
    <t>800-00724</t>
  </si>
  <si>
    <t>MR. WAQAS RABBANI</t>
  </si>
  <si>
    <t>12101-8475250-5</t>
  </si>
  <si>
    <t>CHAH DILDAR KHAN NEAR WHEAT SANDCATE CIRCULAR ROAD DERA ISMAIL KHAN</t>
  </si>
  <si>
    <t>0321-9601413</t>
  </si>
  <si>
    <t>800-00814</t>
  </si>
  <si>
    <t>MR. AZHAR ALI KHAN</t>
  </si>
  <si>
    <t>13501-7577059-9</t>
  </si>
  <si>
    <t>RESIDENT OF BILYANI, P.O. BALAKOT TEHSIL BALAKOT, DISTRICT MANSEHRA</t>
  </si>
  <si>
    <t>0333-1932578</t>
  </si>
  <si>
    <t>700-000272</t>
  </si>
  <si>
    <t>MR. AFTAB AHMED MEMON</t>
  </si>
  <si>
    <t>42301-3894437-3</t>
  </si>
  <si>
    <t>25-II, KHAYABAN-E-MUJAHID, PHASE-V, DHA KARACHI</t>
  </si>
  <si>
    <t>0321-3690929</t>
  </si>
  <si>
    <t>700-000862</t>
  </si>
  <si>
    <t>MR. SIKANDER KHAN</t>
  </si>
  <si>
    <t>17301-6432804-1</t>
  </si>
  <si>
    <t>HOUSE NO.17, STREET NO.2, SECTOR F-3, PHASE-VI, HAYATABAD PESHAWAR</t>
  </si>
  <si>
    <t>0300-5332139</t>
  </si>
  <si>
    <t>700-001035</t>
  </si>
  <si>
    <t>MR. SHAHID YAR KHAN</t>
  </si>
  <si>
    <t>61101-4887149-5</t>
  </si>
  <si>
    <t>HOUSE NO. 1389, ST NO. 23 SECTOR G-14/4, ISLAMABAD</t>
  </si>
  <si>
    <t>0300-5213667</t>
  </si>
  <si>
    <t>SYED AZAZ HUSSAIN SHAH</t>
  </si>
  <si>
    <t>61101-3375511-7</t>
  </si>
  <si>
    <t>ALI PUR NAI ABADI LEHTRAR ROAD ISLAMABAD</t>
  </si>
  <si>
    <t>0333-5551666</t>
  </si>
  <si>
    <t>LUTF ULLAH VIRK</t>
  </si>
  <si>
    <t>35202-7893687-1</t>
  </si>
  <si>
    <t>HOUSE NO. 1 CUSTOM COLONY GULBARG M M ALAM ROAD LAHORE</t>
  </si>
  <si>
    <t>0300-2001311</t>
  </si>
  <si>
    <t>700-000719</t>
  </si>
  <si>
    <t>MR. MUHAMMAD SARWAR</t>
  </si>
  <si>
    <t>61101-1899801-3</t>
  </si>
  <si>
    <t>HOUSE NO.538, ST NO.13, PHAF OFFICERS RESIDENCIA KURRI ROAD ISLAMABAD</t>
  </si>
  <si>
    <t>0333-5151005</t>
  </si>
  <si>
    <t>MR. NISAR AHMED</t>
  </si>
  <si>
    <t>43207-0834411-9</t>
  </si>
  <si>
    <t>TELECOM MEDICAL CENTRE PTA HEAD QUARTERS SECTOR F-5/1, ISLAMABAD</t>
  </si>
  <si>
    <t>0335-0531127</t>
  </si>
  <si>
    <t>800-00773</t>
  </si>
  <si>
    <t>MR. MOHSIN FAROOQ LONE</t>
  </si>
  <si>
    <t>37405-0570827-9</t>
  </si>
  <si>
    <t>334-TF, LANE NO.6, PESHAWAR ROAD, RAWALPINDI</t>
  </si>
  <si>
    <t>0333-5288423</t>
  </si>
  <si>
    <t>700-000830</t>
  </si>
  <si>
    <t>MR. AMIR KHAN</t>
  </si>
  <si>
    <t>61101-2136204-7</t>
  </si>
  <si>
    <t>FLAT NO. 3, BLOCK NO. 2-A, KHAYABAN-E-KASHMIR SECTOR G-15/3, ISLAMABAD</t>
  </si>
  <si>
    <t>0300-9802875</t>
  </si>
  <si>
    <t>800-00658</t>
  </si>
  <si>
    <t>MR. ASIM REHMAN</t>
  </si>
  <si>
    <t>13101-2044127-3</t>
  </si>
  <si>
    <t>GALIAT HOUSE , KARIM PURA, HOUSE NO.41-BC, ABOTABAD</t>
  </si>
  <si>
    <t>0300-9112761</t>
  </si>
  <si>
    <t>800-00705</t>
  </si>
  <si>
    <t>MRS. SOBIA MUNIR</t>
  </si>
  <si>
    <t>42201-4786357-2</t>
  </si>
  <si>
    <t>NAUMAN TAIRAS PHASE-2, UNIVERSITY ROAD FLAT NO.D-15, BLOCK-11-D, KARACHI</t>
  </si>
  <si>
    <t>0333-2210947</t>
  </si>
  <si>
    <t>700-000643</t>
  </si>
  <si>
    <t>MR. SULTAN MUHAMMAD FAROOQI</t>
  </si>
  <si>
    <t>61101-7200701-3</t>
  </si>
  <si>
    <t>HOUSE NO.2, BLOCK NO.5-E, SECTOR G-10/3, ISLAMABAD</t>
  </si>
  <si>
    <t>0300-5167399</t>
  </si>
  <si>
    <t>700-000819</t>
  </si>
  <si>
    <t>MS. NASREEN FARAH</t>
  </si>
  <si>
    <t>61101-1840006-6</t>
  </si>
  <si>
    <t>HOUSE NO.516, ST NO.9, SECTOR G-11/1, ISLAMABAD</t>
  </si>
  <si>
    <t>0308-5039004</t>
  </si>
  <si>
    <t>800-00854</t>
  </si>
  <si>
    <t>MR. FIAZ HUSSAIN</t>
  </si>
  <si>
    <t>61101-1901686-5</t>
  </si>
  <si>
    <t>HOUSE NO.882, ST NO.79, SECTOR I-8/3, ISLAMABAD</t>
  </si>
  <si>
    <t>0337-0777179</t>
  </si>
  <si>
    <t>MS. RIFFAT INAM BUTT</t>
  </si>
  <si>
    <t>34501-4419624-0</t>
  </si>
  <si>
    <t>HOUSE NO. 21, STREET NO. 35, SECTOR F-6/1, ISLAMABAD</t>
  </si>
  <si>
    <t>0302-2225000</t>
  </si>
  <si>
    <t>MRS. RABIA QAISAR</t>
  </si>
  <si>
    <t>61101-6313716</t>
  </si>
  <si>
    <t>HOUSE NO. 38/B, QAISAR HOUSE LALAZAR COLONY D.I.KHAN KPK</t>
  </si>
  <si>
    <t>0333-2816666</t>
  </si>
  <si>
    <t>MR. IMTIAZ AHMED</t>
  </si>
  <si>
    <t>37405-0444848-5</t>
  </si>
  <si>
    <t>HOUSE NO. V-041, VILLAGE CHAKLALA POST OFFICE CHAKLALA RAWALPINDI</t>
  </si>
  <si>
    <t>0335-2366018</t>
  </si>
  <si>
    <t>700-001064</t>
  </si>
  <si>
    <t>MR. MUHAMMAD IRFAN QURESHI</t>
  </si>
  <si>
    <t>35202-294339-3</t>
  </si>
  <si>
    <t>HOUSE NO.5, QATRA-E-REHMAT ROAD, SANDAH KALAN, LAHORE</t>
  </si>
  <si>
    <t>0321-5454333</t>
  </si>
  <si>
    <t>MR. IFTIKHAR AHMED</t>
  </si>
  <si>
    <t>37405-0660702-1</t>
  </si>
  <si>
    <t>HOUSE NO. 65, ST. NO. 96, SECTOR I-8/4, ISLAMABAD</t>
  </si>
  <si>
    <t>MRS. RAVEEDA GUL</t>
  </si>
  <si>
    <t>35201-5940121-0</t>
  </si>
  <si>
    <t>HOUSE NO.446, STREET NO.11, SECTOR F-10/2, ISLAMABAD</t>
  </si>
  <si>
    <t>0300-4267818</t>
  </si>
  <si>
    <t>MR. MUHAMMAD FARRUKH KHAN</t>
  </si>
  <si>
    <t>61101-1988555-1</t>
  </si>
  <si>
    <t>HOUSE NO. 22, ST NO. 586, SECTOR G-13/2, ISLAMABAD</t>
  </si>
  <si>
    <t>0320-9351848</t>
  </si>
  <si>
    <t>MRS. NIGHAT JABEEN</t>
  </si>
  <si>
    <t>11101-2575651-2</t>
  </si>
  <si>
    <t>HOUSE NO. 29/5, ST NO. 58, SECTOR F-6/4, ISLAMABAD</t>
  </si>
  <si>
    <t>800-00730</t>
  </si>
  <si>
    <t>MR. JALIL UR REHMAN</t>
  </si>
  <si>
    <t>32102-4391639-3</t>
  </si>
  <si>
    <t>IESCO COLONY, HOUSE NO.F-10, ST NO.41-B, SECTOR G-7/4, ISLAMABAD</t>
  </si>
  <si>
    <t>0300-6862616</t>
  </si>
  <si>
    <t>800-00840</t>
  </si>
  <si>
    <t>MRS. MASARRET JEHAN, MRS. SAADIA KASHIF, MR. MUHAMMAD EHTISHAM UL HAQ, MRS. HAADIA NAEEM</t>
  </si>
  <si>
    <t>61101-2717189-2, 61101-47977056-2, 61101-4876389-9 &amp; 61101-3081921-8</t>
  </si>
  <si>
    <t>HOUSE NO.33, ST NO.33, SECTOR F-8/1, ISLAMABAD</t>
  </si>
  <si>
    <t>0323-5003839</t>
  </si>
  <si>
    <t>700-001048</t>
  </si>
  <si>
    <t>MR. SOHAIL KHAN</t>
  </si>
  <si>
    <t>61101-0491119-1</t>
  </si>
  <si>
    <t>FLAT D-12, UNIQUE COMPLEX, MAIN RASHID MINHAS ROAD, GULSHAN E IQBAL, KARACHI</t>
  </si>
  <si>
    <t>0344-5899748</t>
  </si>
  <si>
    <t>800-00839</t>
  </si>
  <si>
    <t>SYED MUEEN SIKANDER</t>
  </si>
  <si>
    <t>37405-8351730-9</t>
  </si>
  <si>
    <t>HOUSE NO.05, PEPSI ROAD, BANIGALA ISLAMABAD</t>
  </si>
  <si>
    <t>0300-5557474</t>
  </si>
  <si>
    <t>800-00820</t>
  </si>
  <si>
    <t>MR. SOHAIL ISHTIAQ KHAN</t>
  </si>
  <si>
    <t>61101-1656515-9</t>
  </si>
  <si>
    <t>FLAT NO.GF-01, BLOCK NO.05, SECTOR G-8/4, ISLAMABAD</t>
  </si>
  <si>
    <t>0333-5107994</t>
  </si>
  <si>
    <t>800-00818</t>
  </si>
  <si>
    <t>MR. HASHIM EHSAAN BANDESHA</t>
  </si>
  <si>
    <t>33107-7791506-5</t>
  </si>
  <si>
    <t>HOUSE NO.26, ST NO.01, PHAF OFFICERS RESIDENCIA KURRI ROAD ISLAMABAD</t>
  </si>
  <si>
    <t>0323-5232774</t>
  </si>
  <si>
    <t>700-000792</t>
  </si>
  <si>
    <t>MR. MUHAMMAD AKRAM CHAUDHRY</t>
  </si>
  <si>
    <t>33301-8615601-5</t>
  </si>
  <si>
    <t>HOUSE NO.299, MAIN ROAD. 2 , SECTOR G-15/1, KHAYABAN-E-KASHMIR SOCIETY, ISLAMABAD</t>
  </si>
  <si>
    <t>0342-5217664</t>
  </si>
  <si>
    <t>800-00785</t>
  </si>
  <si>
    <t>MRS. JAMILA HABIB, TALAT PARVEEN, ROONINA HABIB, AZHAR HABIB, FAIZAN HABIB &amp; ASIF HABIB</t>
  </si>
  <si>
    <t>61101-7730997-0, 61101-9510773-8, 61101-3958512-6, 61101-7102267-3, 61101-9663540-9 &amp; 61101-5730769-7</t>
  </si>
  <si>
    <t>HOUSE NO.646, WEST SERVICE ROAD SECTOR G-10/1, ISLAMABAD</t>
  </si>
  <si>
    <t>0334-5071173</t>
  </si>
  <si>
    <t>MR. JEHANGIR MUSHTAQ</t>
  </si>
  <si>
    <t>35404-5503615</t>
  </si>
  <si>
    <t>HOUSE NO.6-A, STREET NO.7, SECTOR F-8/3, ISLAMABAD</t>
  </si>
  <si>
    <t>0300-5000706</t>
  </si>
  <si>
    <t>700-000552</t>
  </si>
  <si>
    <t>MR. GHULAM SHABBIR KHAN BALUCH</t>
  </si>
  <si>
    <t>35201-6269319-1</t>
  </si>
  <si>
    <t>23-U, STREET NO.01, PHASE-II, DHA LAHORE CANTT.</t>
  </si>
  <si>
    <t>0300-8471765</t>
  </si>
  <si>
    <t>800-00832</t>
  </si>
  <si>
    <t>MR. MUHAMMAD WAHED KHAN</t>
  </si>
  <si>
    <t>11101-6732050-7</t>
  </si>
  <si>
    <t>HOUSE NO.422, LANE NO.31, CAT-III PHAF OFFICERS RESIDENCIA KURRI ROAD ISLAMABAD</t>
  </si>
  <si>
    <t>0333-5664677</t>
  </si>
  <si>
    <t>800-00770</t>
  </si>
  <si>
    <t>MRS. FARIDA AMJAD</t>
  </si>
  <si>
    <t>61101-1283275-4</t>
  </si>
  <si>
    <t>HOUSE NO.293, ST NO.34-F, SECTOR I-9/4, ISLAMABAD</t>
  </si>
  <si>
    <t>0321-5255121</t>
  </si>
  <si>
    <t>MIAN MUHAMMAD YASEEN KHAN</t>
  </si>
  <si>
    <t>37405-0660699-5</t>
  </si>
  <si>
    <t>0300-5117595</t>
  </si>
  <si>
    <t>700-001030</t>
  </si>
  <si>
    <t>VILLAGE DAKKI, TEHSIL TANGI, DISTT. CHARSADA CONTACT NO. 0334-8842845</t>
  </si>
  <si>
    <t>700-000903</t>
  </si>
  <si>
    <t>MR. SHOAIB BASHIR KHAN</t>
  </si>
  <si>
    <t>61101-3996646-3</t>
  </si>
  <si>
    <t>0300-9877230</t>
  </si>
  <si>
    <t>MR. Q.H. TARIQ BIN MUHAMMAD SHARIF</t>
  </si>
  <si>
    <t>61101-2831291-1</t>
  </si>
  <si>
    <t>HOUSE NO. 39-D, ST NO. 23, SECTOR G-6/2, ISLAMABAD NEAR SCHOOL NO. 1</t>
  </si>
  <si>
    <t>0308-5000041</t>
  </si>
  <si>
    <t>700-001448</t>
  </si>
  <si>
    <t>MR. KUNWAR SHAHRUKH</t>
  </si>
  <si>
    <t>35202-4291465-7</t>
  </si>
  <si>
    <t>239-A, ANAND ROAD, UPPER MALL LAHORE</t>
  </si>
  <si>
    <t>0312-4424883</t>
  </si>
  <si>
    <t>700-001100</t>
  </si>
  <si>
    <t>MR. JEHANZEB KHAN JOGEZAI</t>
  </si>
  <si>
    <t>61101-3134917-7</t>
  </si>
  <si>
    <t>HOUSE NO.21, STREET NO.10, SECTOR F-8/3, ISLAMABAD</t>
  </si>
  <si>
    <t>0333-5516937</t>
  </si>
  <si>
    <t>MR. ABDUL MAJID KHAN Through Power of Attorney Mr. MUHAMMAD WAQAS AYOUB</t>
  </si>
  <si>
    <t>61101-2345259-9</t>
  </si>
  <si>
    <t>HOUSE NO. 17-F, STREET NO. 04, SECTOR G-6/3, ISLAMABAD</t>
  </si>
  <si>
    <t>700-002042</t>
  </si>
  <si>
    <t>MRS. AMNA IMRAN KHAN</t>
  </si>
  <si>
    <t>61101-7388332-2</t>
  </si>
  <si>
    <t>HOUSE NO.12-D, STREET NO.25-A, SECTOR F-6/2, ISLAMABAD</t>
  </si>
  <si>
    <t>800-00809</t>
  </si>
  <si>
    <t>KHAWAJA MUHAMMAD IBRAHIM</t>
  </si>
  <si>
    <t>33102-3073064-3</t>
  </si>
  <si>
    <t>CANAL EXPRESSWAY HOUSE NO.74-G, GALI NO.18, MOHALLAH WAPDA CITY FAISALABAD DISTRICT FAISALABAD</t>
  </si>
  <si>
    <t>0324-7612828</t>
  </si>
  <si>
    <t>700-000540</t>
  </si>
  <si>
    <t>MS. RAANA UMAR</t>
  </si>
  <si>
    <t>61101-8401861-2</t>
  </si>
  <si>
    <t>FLAT NO.6, BLOCK NO.16, PHA APARTMENTS, NEAR RESCUE 15, SECTOER G-8/4, ISLAMABAD</t>
  </si>
  <si>
    <t>0345-8515135</t>
  </si>
  <si>
    <t>800-00674</t>
  </si>
  <si>
    <t>MRS. SHAKEELA</t>
  </si>
  <si>
    <t>17301-5889156-4</t>
  </si>
  <si>
    <t>HOUSE NO.438, ST NO.07, SECTOR K-4, PHASE-3 HATATABAD PESHAWAR</t>
  </si>
  <si>
    <t>0333-9136021</t>
  </si>
  <si>
    <t>MRS. ISHRAT JEHAN</t>
  </si>
  <si>
    <t>11101-3286761-2</t>
  </si>
  <si>
    <t>GULSHAN-E-JINNAH BOLAN BLOCK, FLATE NO. 5-D, SECTOR F-5/1, ISLAMABAD</t>
  </si>
  <si>
    <t>800-00750</t>
  </si>
  <si>
    <t>MRS. TAHIRA PARVEEN</t>
  </si>
  <si>
    <t>37405-1203008-8</t>
  </si>
  <si>
    <t>HOUSE NO.456, ST NO.48, MARGALLA TOWN PHASE-2, ISLAMABAD</t>
  </si>
  <si>
    <t>COL. ALLAH BAKHSH MALIK</t>
  </si>
  <si>
    <t>37405-0381176-5</t>
  </si>
  <si>
    <t>HOUSE NO.17, STREET NO.20, SECTOR-A, DHA PHASE-2, ISLAMABAD</t>
  </si>
  <si>
    <t>0300-5254713</t>
  </si>
  <si>
    <t>800-00853</t>
  </si>
  <si>
    <t>MR. MUHAMMAD SIDDIQUE</t>
  </si>
  <si>
    <t>61101-2233230-3</t>
  </si>
  <si>
    <t>DIPOMATIC ENCLAVE FLAT NO.47, SECTOR 16-B, SECTOR G-5, ISLAMABAD</t>
  </si>
  <si>
    <t>0300-5061600</t>
  </si>
  <si>
    <t>800-00845</t>
  </si>
  <si>
    <t>MR. SHABBIR AHMAD</t>
  </si>
  <si>
    <t>33100-2422099-7</t>
  </si>
  <si>
    <t>NAVAL ANCHORGE, HOUSE NO.12, ST Q-ROAD BLOCK-F ISLAMABAD</t>
  </si>
  <si>
    <t>0301-8918960</t>
  </si>
  <si>
    <t>MR. ZARGHAM SHAHEEN</t>
  </si>
  <si>
    <t>61101-1941978-9</t>
  </si>
  <si>
    <t>HOUSE NO. 61, ST NO. 117, SECTOR G-13/4, ISLAMABAD</t>
  </si>
  <si>
    <t>0333-5195541</t>
  </si>
  <si>
    <t xml:space="preserve">MRS. FAIZA </t>
  </si>
  <si>
    <t>13101-7928909-2</t>
  </si>
  <si>
    <t>250-A SUNSET STREET GREEN AVENUE ATTABAKHTAWAR ISLAMABAD</t>
  </si>
  <si>
    <t>0333-5322572</t>
  </si>
  <si>
    <t>800-00739</t>
  </si>
  <si>
    <t>MR. HASEEB AHMED</t>
  </si>
  <si>
    <t>61101-3113367-9</t>
  </si>
  <si>
    <t xml:space="preserve">House No.275, Lane No.75, Sector G-9/3, Islamabad
</t>
  </si>
  <si>
    <t>MRS. SIDRA TAHIR</t>
  </si>
  <si>
    <t>61101-8700998-0</t>
  </si>
  <si>
    <t>HOUSE NO.541, AHMAD FARAZ ROAD, SECTOR F-10/2, ISLAMABAD</t>
  </si>
  <si>
    <t>0306-5411056</t>
  </si>
  <si>
    <t>800-00852</t>
  </si>
  <si>
    <t>MR. NAGHMAN CHAUDHRY</t>
  </si>
  <si>
    <t>34603-0870190-7</t>
  </si>
  <si>
    <t>FLAT NO.610, PARK TOWERS APARTMENT SECTOR F-10, ISLAMABAD</t>
  </si>
  <si>
    <t>0321-5305256</t>
  </si>
  <si>
    <t>MR. MUHAMMAD KHURSHEED</t>
  </si>
  <si>
    <t>61101-3934869-7</t>
  </si>
  <si>
    <t>VILLAGE &amp; POST OFFICE GOKINA KHURD TEHSIL &amp; DISTRICT ISLAMABAD</t>
  </si>
  <si>
    <t>0321-5523239</t>
  </si>
  <si>
    <t>MR. MUHAMMAD ASIF</t>
  </si>
  <si>
    <t>34501-7064340-9</t>
  </si>
  <si>
    <t>HOUSE NO.404-E, BLOCK-E, MA JOHAR TOWN, LAHORE</t>
  </si>
  <si>
    <t>0342-2056999</t>
  </si>
  <si>
    <t>700-001500</t>
  </si>
  <si>
    <t xml:space="preserve">MR. MUHAMMAD ASIF </t>
  </si>
  <si>
    <t>HOUSE NO.454-N, PHASE-VI, DHA LAHORE</t>
  </si>
  <si>
    <t>0321-8401320</t>
  </si>
  <si>
    <t>CHAUDHRY SULTAN AHMAD</t>
  </si>
  <si>
    <t>37405-6540826-7</t>
  </si>
  <si>
    <t>HOUSE NO. 811-F, SATELITE TOWN RAWALPINDI</t>
  </si>
  <si>
    <t>700-000863</t>
  </si>
  <si>
    <t>MR. JALAT KHAN AFRIDI</t>
  </si>
  <si>
    <t>13401-1511783-1</t>
  </si>
  <si>
    <t>HOUSE NO.04, ST NO.1, SECTOR H-2, PHASE-II, HAYATABAD PESHAWAR</t>
  </si>
  <si>
    <t>0300-5904026</t>
  </si>
  <si>
    <t>700-000457</t>
  </si>
  <si>
    <t>MR. MUHAMMAD SHARAFAT ALI ZIA</t>
  </si>
  <si>
    <t>61101-2021495-7</t>
  </si>
  <si>
    <t>HOUSE NO. 383, ST NO. 13, MODEL VILLAGE CHAK SHAHZAD PO NIH ISLAMABAD</t>
  </si>
  <si>
    <t>0300-9788191</t>
  </si>
  <si>
    <t>MR. TARIQ KHAN</t>
  </si>
  <si>
    <t>11101-0681739-9</t>
  </si>
  <si>
    <t>SHOPE NO. 108-B, FRIUT MANDI SECTOR I-11/4, ISLAMABAD</t>
  </si>
  <si>
    <t>700-000852</t>
  </si>
  <si>
    <t>MR. MOHAMMAD ASGHAR AFRIDI</t>
  </si>
  <si>
    <t>17301-1558410-9</t>
  </si>
  <si>
    <t>HOUSE NO.44, ST NO.8, SECTOR F-4, PHASE-VI, HAYATABAD PESHAWAR</t>
  </si>
  <si>
    <t>0308-8166660</t>
  </si>
  <si>
    <t>800-00707</t>
  </si>
  <si>
    <t>MR. NADEEM AHMED SHAIKH</t>
  </si>
  <si>
    <t>41303-8850040-7</t>
  </si>
  <si>
    <t>HOUSE NO.G-43, SAHI PEER ROAD, LIAQAT COLONY, DISTRICT HYDERABAD</t>
  </si>
  <si>
    <t>0347-3532884</t>
  </si>
  <si>
    <t>MR. RABNAWAZ ABBASI</t>
  </si>
  <si>
    <t>37404-9349076-7</t>
  </si>
  <si>
    <t>HOUSE NO.603, ST NO.23 PHA OFFICERS RESIDENCIA KURRI ROAD ISLAMABAD</t>
  </si>
  <si>
    <t>0333-5888814</t>
  </si>
  <si>
    <t>MR. MUHAMMAD SALEEM KHAN</t>
  </si>
  <si>
    <t>12101-0976551-9</t>
  </si>
  <si>
    <t>NAWABZADA QAYUM NAWAZ COLONY, CIRCULAR ROAD DERA ISMAIL KHAN</t>
  </si>
  <si>
    <t>MR. WALEED GHAUS SHAH</t>
  </si>
  <si>
    <t>61101-6999289-9</t>
  </si>
  <si>
    <t>0345-9553642</t>
  </si>
  <si>
    <t>700-000477</t>
  </si>
  <si>
    <t>MR. QAYYUM QAMAR KHAWAJA</t>
  </si>
  <si>
    <t>61101-1982480-3</t>
  </si>
  <si>
    <t>HOUSE NO.766, 10TH AVENUE, SECTOR G-9/1, ISLAMABAD</t>
  </si>
  <si>
    <t>0300-8546424</t>
  </si>
  <si>
    <t>700-000468</t>
  </si>
  <si>
    <t>MR. MUHAMMAD RIAZ CHAUDHRY</t>
  </si>
  <si>
    <t>35202-2264060-9</t>
  </si>
  <si>
    <t>HOUSE NO.1-H, 120-B, ST NO.19, FALCON COMPLEX PAF COLONY, GULBERG-III, LAHORE</t>
  </si>
  <si>
    <t>0300-9494250</t>
  </si>
  <si>
    <t>700-000585</t>
  </si>
  <si>
    <t>MR. MUHAMMAD ANWAR KHAN</t>
  </si>
  <si>
    <t>37405-0675492-9</t>
  </si>
  <si>
    <t>HOUSE NO.608, LANE NO.23, PHA OFFICERS RESIDENCIA KURRI ROAD ISLAMABAD</t>
  </si>
  <si>
    <t>0301-8555826</t>
  </si>
  <si>
    <t>MR. FAISAL ISHAQUE LODHI</t>
  </si>
  <si>
    <t>61101-1919968-3</t>
  </si>
  <si>
    <t>18- SAHIBZADA ABDUL QAYYUM ROAD, SECTOR I-8/2, ISLAMABAD</t>
  </si>
  <si>
    <t>0323-4012361</t>
  </si>
  <si>
    <t>MS. ASNA IBRAHIM</t>
  </si>
  <si>
    <t>37405-9552051-4</t>
  </si>
  <si>
    <t>HOUSE NO. 365, STREET NO. 19, GORI TOWN PHASE-IV, ISLAMABAD</t>
  </si>
  <si>
    <t>MR. SHEHZAD AHMED , MRS. MADEEHA SHAEHZAD</t>
  </si>
  <si>
    <t>61101-6266570-7 &amp; 
34101-1220886-8</t>
  </si>
  <si>
    <t>0333-5551230</t>
  </si>
  <si>
    <t>800-00837</t>
  </si>
  <si>
    <t>MR. ABDUL RAUF</t>
  </si>
  <si>
    <t>61101-9334325-9</t>
  </si>
  <si>
    <t>HOUSE NO.1305-A, ST NO.94, SECTOR-I-10/1, ISLAMABAD</t>
  </si>
  <si>
    <t>0321-5072316</t>
  </si>
  <si>
    <t>800-00802</t>
  </si>
  <si>
    <t>HOUSE NO. 65, ST NO. 96, I-8/4, ISLAMABAD</t>
  </si>
  <si>
    <t>700-000248</t>
  </si>
  <si>
    <t>MR. GHULAM HAIDER MARTH</t>
  </si>
  <si>
    <t>35201-3965332-1</t>
  </si>
  <si>
    <t>HOUSE NO. 20, GRIFFIN COLONY, PARK ROAD, NEAR MUGHAL PURA LAHORE.</t>
  </si>
  <si>
    <t>0300-8677788</t>
  </si>
  <si>
    <t>700-002011</t>
  </si>
  <si>
    <t>MR. MUHAMAMD YOUNAS KHAN</t>
  </si>
  <si>
    <t>37301-2578491-1</t>
  </si>
  <si>
    <t>HOUSE NO. D-6, ALI NAWAB ROAD WAH CANTT.</t>
  </si>
  <si>
    <t>0321-7928713</t>
  </si>
  <si>
    <t>700-002002</t>
  </si>
  <si>
    <t>MR. HASSAN NAWAZ TARAR</t>
  </si>
  <si>
    <t>35202-2636402-7</t>
  </si>
  <si>
    <t>HOUSE NO. 18/1, LINKERS COLONY ST JOHN PARK LAHORE CANTT</t>
  </si>
  <si>
    <t>0340-0007374</t>
  </si>
  <si>
    <t>MRS. NAZIA FAREED NIZAMI</t>
  </si>
  <si>
    <t>37405-0520349-4</t>
  </si>
  <si>
    <t xml:space="preserve">HOUSE NO. 39-D, ST NO. 23, SECTOR G-6/2, ISLAMABAD </t>
  </si>
  <si>
    <t>MRS. AYESHA SIDDIQA</t>
  </si>
  <si>
    <t>36502-3748998-2</t>
  </si>
  <si>
    <t>HOUSE NO. 5-E, ST NO. 58, 228-E OLD SECTOR G-6/4, ISLAMABAD</t>
  </si>
  <si>
    <t>700-000531</t>
  </si>
  <si>
    <t>MR. ABDUL SAMI KHAN</t>
  </si>
  <si>
    <t>61101-6229653-7</t>
  </si>
  <si>
    <t>10-B, 72-FAMILY SUITES, GULSHAN E JINNAH, SECTOR F-5/1, ISLAMABAD</t>
  </si>
  <si>
    <t>0335-295923</t>
  </si>
  <si>
    <t>800-00726</t>
  </si>
  <si>
    <t>MR. MUHAMMAD MUBASHAR BASHIR</t>
  </si>
  <si>
    <t>35202-3179482-3</t>
  </si>
  <si>
    <t>HOUSE NO.326-M, DHA PHASE-I, LAHORE</t>
  </si>
  <si>
    <t>0340-0007700</t>
  </si>
  <si>
    <t>700-001296</t>
  </si>
  <si>
    <t>MR. ZAFARULLAH KHAN SOOMRO</t>
  </si>
  <si>
    <t>41303-9239745-3</t>
  </si>
  <si>
    <t>FLAT NO.D-2, AWON APARTMENTS OFF ADAM ROAD, FRERE TOWN, KARACHI CANTT</t>
  </si>
  <si>
    <t>0300-2373793</t>
  </si>
  <si>
    <t>700-001354</t>
  </si>
  <si>
    <t>MRS.FAIZA SAEED , MS RIJA SAEED WAHLAH, MR.RAWAL SAEED WAHLAH , MR.RAFEY SAEED WAHLAH</t>
  </si>
  <si>
    <t>35202-9275596-2,35201-1373275-8,35201-3913169-3,35201-3818119-3</t>
  </si>
  <si>
    <t>15/A, SHAMI ROAD, ASKARI VILLAS, LAHORE CANTT</t>
  </si>
  <si>
    <t>0333-4349434</t>
  </si>
  <si>
    <t>700-001262</t>
  </si>
  <si>
    <t>MR. WAQAR AHMAD</t>
  </si>
  <si>
    <t>13503-4669192-7</t>
  </si>
  <si>
    <t>HOUSE NO. 362, STREET NO. 33, SECTOR F-11/2, ISLAMABAD</t>
  </si>
  <si>
    <t>0313-5325777</t>
  </si>
  <si>
    <t>800-00617</t>
  </si>
  <si>
    <t>MRS. AMARA ARIF</t>
  </si>
  <si>
    <t>33101-3502013-2</t>
  </si>
  <si>
    <t>HOUSE NO. 74, GREEN AVENUE STREET CHINAR DAAK KHANA KHAAS CHATA BAKHTAWAR</t>
  </si>
  <si>
    <t>0333-6622340</t>
  </si>
  <si>
    <t>MR. FAROGH UDDIN ANJUM</t>
  </si>
  <si>
    <t>37405-0526673-5</t>
  </si>
  <si>
    <t>HOUSE NO.10, SECTOR-A, STREET NO.1 ASKARI-10 LAHORE CANTT</t>
  </si>
  <si>
    <t>0300-5004710</t>
  </si>
  <si>
    <t>700-000194</t>
  </si>
  <si>
    <t>MR. KHURSHID ANWAR KHAN</t>
  </si>
  <si>
    <t>61101-9982773-1</t>
  </si>
  <si>
    <t>13-CIRCULAR ROAD, OPPOSITE BALOCH HOUSE, ABOTABAD</t>
  </si>
  <si>
    <t>0300-8550534</t>
  </si>
  <si>
    <t>MR. ZAIGHUM LATIF KAYANI</t>
  </si>
  <si>
    <t>61101-8026756-5</t>
  </si>
  <si>
    <t>PARK ROAD CHATHA BAKHTAWAR NEAR UTILITY STORE CHAK SHAHZAD ISLAMABAD</t>
  </si>
  <si>
    <t>0333-5196455</t>
  </si>
  <si>
    <t>MS. FARAH REHMAN, &amp; HUMA REHMAN</t>
  </si>
  <si>
    <t>31303-2812722-4 &amp; 
31303-9379743-0</t>
  </si>
  <si>
    <t>CENTER FOR INTERNATIONAL STRATEGIC STUDIES (CISS) SUITE 506, FLOOR-5 EVACUEE TRUST COMPLEX SECTOR F-5/1, ISLAMABAD</t>
  </si>
  <si>
    <t>0333-7449724</t>
  </si>
  <si>
    <t>700-000455</t>
  </si>
  <si>
    <t>MR. ABDUL RAUF RAJA</t>
  </si>
  <si>
    <t>800-00736</t>
  </si>
  <si>
    <t>MR. HAMZA LIAQAT</t>
  </si>
  <si>
    <t>61101-1804554-1</t>
  </si>
  <si>
    <t>FLAT NO.06, BLOCK NO.3-B, GALI NO.03, SECTOR I-8/1, ISLAMABAD</t>
  </si>
  <si>
    <t>700-002012</t>
  </si>
  <si>
    <t>MR. MAZHAR HUSSAIN</t>
  </si>
  <si>
    <t>42101-1795350-5</t>
  </si>
  <si>
    <t xml:space="preserve">FLAT NO. 107, AL SADIQ RESIDENCY GARDEN EAST KARACHI </t>
  </si>
  <si>
    <t>0334-1842120</t>
  </si>
  <si>
    <t>800-00847</t>
  </si>
  <si>
    <t>MR. ALI TURAB HAIDER, MR. AHMAD YAR KHAN, MR. MUHAMMAD RAZA HAIDER</t>
  </si>
  <si>
    <t>61101-4121557-7, 61101-1081640-9, 61101-4132007-7</t>
  </si>
  <si>
    <t>HOUSE NO.634, ST NO.23, PHA OFFICERS RESIDENCIA KURRI ROAD ISLAMABAD</t>
  </si>
  <si>
    <t>0308-5433483</t>
  </si>
  <si>
    <t>800-00709</t>
  </si>
  <si>
    <t>MR. ABDUL BASIT</t>
  </si>
  <si>
    <t>61101-7762684-5</t>
  </si>
  <si>
    <t>HOUSE NO.2, ST NO.1, TARLAI KALAN NEAR JAMIA MASJID ALBADAR ISLAMABAD</t>
  </si>
  <si>
    <t>0334-5022362</t>
  </si>
  <si>
    <t>MR. IKHTIAR AHMED QURESHI</t>
  </si>
  <si>
    <t>61101-3892913-9</t>
  </si>
  <si>
    <t>HOUSE NO. 510, ST. NO. 63, SECTOR G-9/4, ISLAMABAD</t>
  </si>
  <si>
    <t>MR. AMAN ULLAH</t>
  </si>
  <si>
    <t>11201-2268289-1</t>
  </si>
  <si>
    <t>VILLAGE TANCHI ABABAD, SARAI NOURANG DIST. LAKKI MARWAT KPK</t>
  </si>
  <si>
    <t>0345-5518366</t>
  </si>
  <si>
    <t>700-001025</t>
  </si>
  <si>
    <t>MR. AHSAN ALI MANGI</t>
  </si>
  <si>
    <t>42301-5597840-5</t>
  </si>
  <si>
    <t>HOUSE NO.153, ST NO.98, SECTOR I-8/4, ISLAMABAD</t>
  </si>
  <si>
    <t>0346-9889889</t>
  </si>
  <si>
    <t>700-000631</t>
  </si>
  <si>
    <t>MR. AHMED HUSSAIN BAJWA</t>
  </si>
  <si>
    <t>37405-0658634-5</t>
  </si>
  <si>
    <t>HOUSE NO. 52, ST. NO. 02, RAIL-VIEW HOUSING SCHEME, NEAR GULZAR E QUAID, CHAKLALA, RAWALPINDI.</t>
  </si>
  <si>
    <t>0313-9876000</t>
  </si>
  <si>
    <t>800-00708</t>
  </si>
  <si>
    <t xml:space="preserve">POST OFFICE SHERPAO, TEHSIL TANGI DISTRICT CHARSADA </t>
  </si>
  <si>
    <t>800-00639</t>
  </si>
  <si>
    <t>MR. MURTAZA AFTAB</t>
  </si>
  <si>
    <t>42301-4672057-7</t>
  </si>
  <si>
    <t>HOUSE NO. 46-A, STREET NO. 12-A, MOHALLAH GULSHAN-E-FAISAL BATH ISLAND KARACHI</t>
  </si>
  <si>
    <t>0333-2202712</t>
  </si>
  <si>
    <t>800-00733</t>
  </si>
  <si>
    <t>MR. SHAKAIB TAHIR</t>
  </si>
  <si>
    <t>61101-4687233-9</t>
  </si>
  <si>
    <t>PRINCE ROAD HOUSE NO.01, ST NO.03, PHULGRAN POST OFFICE BHARA KAU ISLAMABAD</t>
  </si>
  <si>
    <t>0300-5345520</t>
  </si>
  <si>
    <t>MR. MUHAMMAD INAM ULLAH WAZIR</t>
  </si>
  <si>
    <t>14301-9601493-3</t>
  </si>
  <si>
    <t>HOUSE NO. 42, MUKHTIAR GUL ROAD KOHAT CANTT.</t>
  </si>
  <si>
    <t>0333-6336925</t>
  </si>
  <si>
    <t>700-001261</t>
  </si>
  <si>
    <t>MR. FAQIR SYED ASIF HUSSAIN</t>
  </si>
  <si>
    <t>61101-7429966-9</t>
  </si>
  <si>
    <t>HOUSE NO.95, ST NO.7, SECTOR E-7, ISLAMABAD</t>
  </si>
  <si>
    <t>0321-4039462</t>
  </si>
  <si>
    <t>700-001029</t>
  </si>
  <si>
    <t>MR. MUHAMMAD ZULQARNAIN AMIR</t>
  </si>
  <si>
    <t>35202-2324393-1</t>
  </si>
  <si>
    <t>HOUSE NO. 621, ST NO. 89 GULSHAN-E-ABAD ADIALA ROAD RAWALPINDI</t>
  </si>
  <si>
    <t>0300-8460706</t>
  </si>
  <si>
    <t>700-000548</t>
  </si>
  <si>
    <t>MR. KHURRAM GULZAR</t>
  </si>
  <si>
    <t>42000-7747216-3</t>
  </si>
  <si>
    <t>HOUSE NO. 23/II, KHAYABAN E GHAZI, PHASE V, DHA, KARACHI</t>
  </si>
  <si>
    <t>0333-2301241</t>
  </si>
  <si>
    <t>700-001473</t>
  </si>
  <si>
    <t>MR. NOOR AHMED</t>
  </si>
  <si>
    <t>37405-9812106-7</t>
  </si>
  <si>
    <t>25-1-A, SATELLITE TOWN, RWP.</t>
  </si>
  <si>
    <t>0334-5344577</t>
  </si>
  <si>
    <t>MR. MUHAMMAD RAFIQUE</t>
  </si>
  <si>
    <t>61101-9972846-5</t>
  </si>
  <si>
    <t>HOUSE NO. 288, ST NO. 15, SECTOR G-15/4, ISLAMABAD</t>
  </si>
  <si>
    <t>800-00635</t>
  </si>
  <si>
    <t>HOUSE NO. SA-1089, ST NO. 01, SADIQABAD RAWALPINDI</t>
  </si>
  <si>
    <t>0305-8880859</t>
  </si>
  <si>
    <t>700-000544</t>
  </si>
  <si>
    <t>MR. SHAFI ULLAH KHAN</t>
  </si>
  <si>
    <t>15401-0692436-3</t>
  </si>
  <si>
    <t>HOUSE NO. 543, ST. NO. 12, SECTOR N-1, PHASE IV, HAYATABAD PESHAWAR</t>
  </si>
  <si>
    <t>0342-9017525</t>
  </si>
  <si>
    <t>MR. SHAUKAT ALI</t>
  </si>
  <si>
    <t>61101-8090930-7</t>
  </si>
  <si>
    <t>HOUSE NO.652, LANE NO.22-B, PHA OFFICERS RESIDENCIA KURRI ROAD ISLAMBAD</t>
  </si>
  <si>
    <t>0333-5248977</t>
  </si>
  <si>
    <t>MRS. ZEENAT NIAZ</t>
  </si>
  <si>
    <t>42301-3281844-2</t>
  </si>
  <si>
    <t>Z-304, AL HABIB ORCARD NEAR TEEN TALWAR MAIN CLIFTON ROAD KARACHI</t>
  </si>
  <si>
    <t>0333-2610835</t>
  </si>
  <si>
    <t>700-000845</t>
  </si>
  <si>
    <t>MRS. NIGHAT MEHROZE CHISHTI</t>
  </si>
  <si>
    <t>42501-0477806-0</t>
  </si>
  <si>
    <t>NATIONAL INSTITUTE OF MANAGEMENT, ACADEMY TOWN, PESHAWAR</t>
  </si>
  <si>
    <t>0301-8500131</t>
  </si>
  <si>
    <t>700-000553</t>
  </si>
  <si>
    <t>MR. MUHAMMAD BASHARAT</t>
  </si>
  <si>
    <t>61101-6867781-3</t>
  </si>
  <si>
    <t>HOUSE NO. 317, ST. NO. 21, E-11/4, ISLAMABAD</t>
  </si>
  <si>
    <t>0333-5283096</t>
  </si>
  <si>
    <t>MR. MAHMOOD RAZA</t>
  </si>
  <si>
    <t>37405-9351226-3</t>
  </si>
  <si>
    <t>GULSHAN-E-JINNAH MAKAN NO. C-14/72, SECTOR F-5/1, ISLAMABAD</t>
  </si>
  <si>
    <t>800-00641</t>
  </si>
  <si>
    <t>MR. MUSHTAQ AHMAD</t>
  </si>
  <si>
    <t>34103-9887576-5</t>
  </si>
  <si>
    <t>HOUSE NO. 1135, ST NO. 64, BLOCK G-10/4, ISLAMABAD</t>
  </si>
  <si>
    <t>0323-5567072</t>
  </si>
  <si>
    <t>800-00653</t>
  </si>
  <si>
    <t>MR. IMRAN JALIL</t>
  </si>
  <si>
    <t>61101-2599773-5</t>
  </si>
  <si>
    <t>HOUSE NO.378/C, ST NO.12, SECTOR G-6/2, ISLAMABAD</t>
  </si>
  <si>
    <t>0303-4171147</t>
  </si>
  <si>
    <t>800-00660</t>
  </si>
  <si>
    <t>MRS.GULRUKH</t>
  </si>
  <si>
    <t>42201-6972184-8</t>
  </si>
  <si>
    <t>MOHALLA KHUMARI KHEL, POST OFFICE KHAS, COL SHER KHAN KALAY SWABI</t>
  </si>
  <si>
    <t>700-000285</t>
  </si>
  <si>
    <t>MR. MOHAMMED ANWAR KHAN</t>
  </si>
  <si>
    <t>61101-7929346-5</t>
  </si>
  <si>
    <t>827/C, BLOCK "C", ST NO. 39, PWD EMPLOYEES HOUSING SOCIETY, LOHI BHER, ISLAMABAD</t>
  </si>
  <si>
    <t>0334-5523560</t>
  </si>
  <si>
    <t>800-00672</t>
  </si>
  <si>
    <t>MR. MUHAMMAD ZUBAIR</t>
  </si>
  <si>
    <t>61101-3537726-9</t>
  </si>
  <si>
    <t>HOUSE NO.255-E, ST NO.13, SECTOR G-6/2, ISLAMABAD</t>
  </si>
  <si>
    <t>0333-5981999</t>
  </si>
  <si>
    <t>MR. FARHAN UD DIN KHILJI</t>
  </si>
  <si>
    <t>37405-6875680-3</t>
  </si>
  <si>
    <t>DHOK PARACHA SERVICE ROAD HOUSE NO. 837-A, MOHALLAH SATELLITE TOWN RAWALPINDI</t>
  </si>
  <si>
    <t>0321-5028113</t>
  </si>
  <si>
    <t>800-00794</t>
  </si>
  <si>
    <t>MR. MUHAMMAD ASIM</t>
  </si>
  <si>
    <t>61101-4812028-9</t>
  </si>
  <si>
    <t>FLAT NO.T-9, PEOPLES MEDIA FOUNDATION G-8, ISLAMABAD</t>
  </si>
  <si>
    <t>0313-7779991</t>
  </si>
  <si>
    <t>RANA MUHAMMAD ZAHID</t>
  </si>
  <si>
    <t>61101-2022339-7</t>
  </si>
  <si>
    <t>HOUSE NO.165-B, GALI NO.17, SECTOR G-6/2, ISLAMABAD</t>
  </si>
  <si>
    <t>0300-5758822</t>
  </si>
  <si>
    <t>700-000476</t>
  </si>
  <si>
    <t>MR. BANAT KHAN MASUD</t>
  </si>
  <si>
    <t>36302-3822459-3</t>
  </si>
  <si>
    <t>APARTMENT NO.47-B, ASKARI-III, SCHOOL ROAD KARACHI CANTT.</t>
  </si>
  <si>
    <t>0333-7805200</t>
  </si>
  <si>
    <t>MR. MUHAMMAD ISMAIL</t>
  </si>
  <si>
    <t>35201-3354413-9</t>
  </si>
  <si>
    <t>HOUSE NO.915, SECTOR-Z, DHA PHASE-III, LAHORE</t>
  </si>
  <si>
    <t>0341-1517915</t>
  </si>
  <si>
    <t>MR. TAUSIF AKHTAR JANJUA</t>
  </si>
  <si>
    <t>34101-8293066-9</t>
  </si>
  <si>
    <t>HOUSE NO. 186, RACHNA BLOCK DC COLONY GUJRANWALA</t>
  </si>
  <si>
    <t>0300-8643447</t>
  </si>
  <si>
    <t>700-002015</t>
  </si>
  <si>
    <t>MR. NADEEM SHAFIQ MALIK</t>
  </si>
  <si>
    <t>37405-9558174-5</t>
  </si>
  <si>
    <t>HOUSE NO. 5-A, ST NO. 2, F-8/3, ISLAMABAD</t>
  </si>
  <si>
    <t>0301-5550571</t>
  </si>
  <si>
    <t>MR. MAHBOOB ALAM KHAN SHAH</t>
  </si>
  <si>
    <t>61101-1944767-9</t>
  </si>
  <si>
    <t>HOUSE NO. 61, ST NO. 117 SECTOR G-13/4, ISLAMABAD</t>
  </si>
  <si>
    <t>0332-5345234</t>
  </si>
  <si>
    <t>700-000596</t>
  </si>
  <si>
    <t>MAHER SHER MUHAMMAD</t>
  </si>
  <si>
    <t>61101-6075506-1</t>
  </si>
  <si>
    <t>HOUSE NO.670, ST NO.13 PHAF OFFICERS RESIDENCIA KURRI ROAD ISLAMABAD</t>
  </si>
  <si>
    <t>0300-9190858</t>
  </si>
  <si>
    <t>MR. MUHAMMAD HANIF CHANNA</t>
  </si>
  <si>
    <t>43104-5427983-5</t>
  </si>
  <si>
    <t>C/O DR. MOHAMMAD YOUNIS CHANNA, CHANNA MOHALLAH, P.O BUXAPUR, DISTRICT KASHMORE, SINDH</t>
  </si>
  <si>
    <t>0301-2432528</t>
  </si>
  <si>
    <t>800-00828</t>
  </si>
  <si>
    <t>MR. MUHAMMAD AHTISHAM ULLAH SHAH, SYED USAMA AZAZ &amp; MR. MUHAMMAD ASAD ULLAH SHAH</t>
  </si>
  <si>
    <t>61101-4727200-5, 61101-7401879-7 &amp; 61101-7575100-9</t>
  </si>
  <si>
    <t>HOUSE NO. 374, ST NO. 23, RAWAL TWON, ISLAMABAD</t>
  </si>
  <si>
    <t>0333-9301289</t>
  </si>
  <si>
    <t>MR. SHUJA HUSSAIN</t>
  </si>
  <si>
    <t>61101-0555069-5</t>
  </si>
  <si>
    <t>HOUSE NO. 1172, ST NO. 111-A, SECTOR G-9/4, ISLAMABAD</t>
  </si>
  <si>
    <t>0304-5100094</t>
  </si>
  <si>
    <t>MR.  MUHAMMAD BASHIR ABID</t>
  </si>
  <si>
    <t>61101-1781288-1</t>
  </si>
  <si>
    <t>HOUSE NO. 213, ST NO. 74, SECTOR G-9/3, ISLAMABAD</t>
  </si>
  <si>
    <t>0300-5169378</t>
  </si>
  <si>
    <t>800-00742</t>
  </si>
  <si>
    <t>MR. MUHAMMAD BASIT SAEED</t>
  </si>
  <si>
    <t>33303-2103237-7</t>
  </si>
  <si>
    <t>FLAT NO.G, BLOCK NO.09, SPD OFFICERS COLONY-7, DCI E-10, ISLAMABAD</t>
  </si>
  <si>
    <t>0300-2728699</t>
  </si>
  <si>
    <t>700-000850</t>
  </si>
  <si>
    <t>DR. GHULAM RASUL</t>
  </si>
  <si>
    <t>61101-7447265-9</t>
  </si>
  <si>
    <t>PAKISTAN METRIOLOGICAL DEPARTMENT, H-8/2, ISLAMABAD</t>
  </si>
  <si>
    <t>0301-5577145</t>
  </si>
  <si>
    <t>800-00747</t>
  </si>
  <si>
    <t>MRS. GULNAR TALHA &amp; MS. SANA TALHA</t>
  </si>
  <si>
    <t>61101-7780122-8 &amp; 61101-8024576-0</t>
  </si>
  <si>
    <t>HOUSE NO.170, ST NO.65, SECTOR G-8/1, ISLAMABAD</t>
  </si>
  <si>
    <t>0334-5345527</t>
  </si>
  <si>
    <t>700-000578</t>
  </si>
  <si>
    <t>MR. JAVAID IQBAL</t>
  </si>
  <si>
    <t>61101-2017089-3</t>
  </si>
  <si>
    <t>HOUSE NO.132-B, ST NO.13, PWD HOUSING SOCIETY LOHIBHER, ISLAMABAD</t>
  </si>
  <si>
    <t>0334-5120510</t>
  </si>
  <si>
    <t>MR. MUHAMMAD FAROOQ AHMED KHAN</t>
  </si>
  <si>
    <t>HOUSE NO. 84, STREET NO. 8, SECTOR-J, DHA PHASE-II ISLAMABAD</t>
  </si>
  <si>
    <t>800-00811</t>
  </si>
  <si>
    <t>SYED MUHAMMAD FURQAN</t>
  </si>
  <si>
    <t>61101-4372848-1</t>
  </si>
  <si>
    <t>HOUSE NO.969, STREET NO.92, SECTOR I-10/4, ISLAMABAD</t>
  </si>
  <si>
    <t>0345-8561471</t>
  </si>
  <si>
    <t>MR. MUHAMMAD TAYYAB</t>
  </si>
  <si>
    <t>42401-4210999-9</t>
  </si>
  <si>
    <t>HOUSE NO. D-8, BLOCK-3, MOHALLA METRO VOWEL SITE AREA KARACHI GHARBI</t>
  </si>
  <si>
    <t>0309-2309766</t>
  </si>
  <si>
    <t>700-001343</t>
  </si>
  <si>
    <t>DR. SHEIKH SULEMAN</t>
  </si>
  <si>
    <t>HOUSE NO.2-B, ST NO.35 SECTOR F-6/1, ISLAMABAD</t>
  </si>
  <si>
    <t>0334-5059166</t>
  </si>
  <si>
    <t>MR. NISAR AHMAD BAJWA</t>
  </si>
  <si>
    <t>331018-724258-1</t>
  </si>
  <si>
    <t>NISAR BAJWA C/O MISBAH KASHIF PRINCIPAL THECITY GRAMMAR SCHOOL 41/8 NEW CIVIL LINE BEHIND STATE BANK FAISALABAD</t>
  </si>
  <si>
    <t>0334-7627676</t>
  </si>
  <si>
    <t>SHOUKAT ALI CHAUDHRY</t>
  </si>
  <si>
    <t>33103-7682471-1</t>
  </si>
  <si>
    <t>HOUSE NO. 455, ST NO. 10, SECTOR G-10/2, ISLAMABAD</t>
  </si>
  <si>
    <t>0300-5050406</t>
  </si>
  <si>
    <t>700-000485</t>
  </si>
  <si>
    <t>MR. ASHIQ HUSSAIN ABBASI</t>
  </si>
  <si>
    <t>61101-2105669-9</t>
  </si>
  <si>
    <t>HOUSE NO. 4/1-E, STREET NO. 13, SECTOR G-7/2, ISLAMABAD</t>
  </si>
  <si>
    <t>0333-5163202</t>
  </si>
  <si>
    <t>800-00776</t>
  </si>
  <si>
    <t>MS. FATIMA IBRAHIM</t>
  </si>
  <si>
    <t>37405-6397849-6</t>
  </si>
  <si>
    <t>800-00822</t>
  </si>
  <si>
    <t>MS. EIRIJ RUBBANI</t>
  </si>
  <si>
    <t>35202-6475661-0</t>
  </si>
  <si>
    <t>HOUSE NO.689, LANE NO.27, PHAF OFFICERS RESIDENCIA KURRI ROAD, ISLAMABAD</t>
  </si>
  <si>
    <t>0300-4675300</t>
  </si>
  <si>
    <t>800-00645</t>
  </si>
  <si>
    <t>MS. MARYAM IQBAL, MS. SANA IQBAL, MS.SABA IQBAL</t>
  </si>
  <si>
    <t>61101-1325170-4 &amp; 61101-9373243-2 &amp; 61101-9244740-6</t>
  </si>
  <si>
    <t>HOUSE NO. 535-D, ST NO. 26, SECTOR G-6/2, ISLAMABAD</t>
  </si>
  <si>
    <t>0334-4011133</t>
  </si>
  <si>
    <t>800-00819</t>
  </si>
  <si>
    <t>MR. ASIF RAZZAQ</t>
  </si>
  <si>
    <t>61101-1780505-1</t>
  </si>
  <si>
    <t>SADDAR ROAD, HOUSE NO.422-C, SECTOR G-6-1/3, ISLAMABAD</t>
  </si>
  <si>
    <t>13101-1053233-9</t>
  </si>
  <si>
    <t>MR. SHAHBAZ HUSSAIN</t>
  </si>
  <si>
    <t>800-00862</t>
  </si>
  <si>
    <t>33201-7810381-1</t>
  </si>
  <si>
    <t>HOUSE NO.19, SAHIBZADA ABDUL QAYYUM SERVICE ROAD, SECTOR I-8/3, ISLAMABAD</t>
  </si>
  <si>
    <t>0323-4446666</t>
  </si>
  <si>
    <t>MRS. NAUSHEEN ILYAS</t>
  </si>
  <si>
    <t>800-00864</t>
  </si>
  <si>
    <t>37405-7322933-6</t>
  </si>
  <si>
    <t>HOUSE NO.347, LANE NO.05, PHA OFFICERS RESIDENCIA KURRI ROAD ISLAMABAD</t>
  </si>
  <si>
    <t>HOUSE NO.265, ST NO.20, CATEGORY-II, PHAF OFFICERS RESIDENCIA KURRI ROAD ISLAMABAD</t>
  </si>
  <si>
    <t>HOUSE NO.3-F, STREET NO.41-C, SECTOR G-7/4, ISLAMABAD</t>
  </si>
  <si>
    <t>MR. SALMAN SAJID CHATHA</t>
  </si>
  <si>
    <t>800-00867</t>
  </si>
  <si>
    <t>35201-6520945-9</t>
  </si>
  <si>
    <t>3AB, AZIZ AVENUE ZAFAR ALI ROAD, GULBERG-V, LAHORE</t>
  </si>
  <si>
    <t>0321-4911111</t>
  </si>
  <si>
    <t xml:space="preserve">MUHAMMAD SHAHID </t>
  </si>
  <si>
    <t>800-00863</t>
  </si>
  <si>
    <t>SYEDA IRSHAD JEHAN GUL</t>
  </si>
  <si>
    <t>800-00869</t>
  </si>
  <si>
    <t>61101-9476416-8</t>
  </si>
  <si>
    <t>HOUSE NO.01, ST NO.36, BLOCK NO.79-D, SECTOR F-6/1, ISLAMABAD</t>
  </si>
  <si>
    <t>0333-5057499</t>
  </si>
  <si>
    <t>MRS. SANA ANWAR</t>
  </si>
  <si>
    <t>800-00866</t>
  </si>
  <si>
    <t>61101-5463685-6</t>
  </si>
  <si>
    <t>HOUSE NO.483, LANE NO.28, CAT-III PHAF OFFICERS RESIDENCIA PROJECT KURRI ROAD ISLAMABAD</t>
  </si>
  <si>
    <t>0333-5405584</t>
  </si>
  <si>
    <t>HOUSE NO.434, ST NO.31, PHAF OFFICERS RESIDENCIA KURRI ROAD ISLAMABAD</t>
  </si>
  <si>
    <t>0333-8933932</t>
  </si>
  <si>
    <t>MR. KASHIF RIAZ AWAN</t>
  </si>
  <si>
    <t>800-00871</t>
  </si>
  <si>
    <t>34104-9423326-5</t>
  </si>
  <si>
    <t>SPRING VALLEY, HOUSE NO.80-A, MOHALLAH BARAKHOU ISLAMABAD</t>
  </si>
  <si>
    <t>0345-6871368</t>
  </si>
  <si>
    <t>HOUSE NO.316, ST NO.6, PHA OFFICERS RESIDENCIA KURRI ROAD ISLAMABAD</t>
  </si>
  <si>
    <t>800-00870</t>
  </si>
  <si>
    <t>MR. SALMAN SAFDAR</t>
  </si>
  <si>
    <t>800-00879</t>
  </si>
  <si>
    <t>35202-9162153-5</t>
  </si>
  <si>
    <t>PRESIDENT OF GROUND FLOOR, ALVI MANZIL 9-FANE ROAD, LAHORE</t>
  </si>
  <si>
    <t>0321-4010101</t>
  </si>
  <si>
    <t>MR. MUHAMMAD OMER SAEED</t>
  </si>
  <si>
    <t>800-00887</t>
  </si>
  <si>
    <t>35202-8041465-5</t>
  </si>
  <si>
    <t>HOUSE NO.243,ST NO.05, MOHALLA OLD CAVALRY GROUND LAHORE CANTT</t>
  </si>
  <si>
    <t>0321-8466637</t>
  </si>
  <si>
    <t>MR. IHSAN ULLAH KHAN</t>
  </si>
  <si>
    <t>800-00880</t>
  </si>
  <si>
    <t>61101-6580641-1</t>
  </si>
  <si>
    <t>HOUSE NO.1526, ST NO.87, SECTOR D-12/1, ISLAMABAD</t>
  </si>
  <si>
    <t>0346-2235000</t>
  </si>
  <si>
    <t>MRS. KHIZRAN</t>
  </si>
  <si>
    <t>800-00877</t>
  </si>
  <si>
    <t>17301-6117395-2</t>
  </si>
  <si>
    <t>SR. ENGINEER HDIP, PLOT NO.18, STNO.6, SECTOR H-9/1, ISLAMABAD</t>
  </si>
  <si>
    <t>0333-5414486</t>
  </si>
  <si>
    <t>MRS. KHALIDA ASHRAF</t>
  </si>
  <si>
    <t>800-00881</t>
  </si>
  <si>
    <t>37405-4293136-2</t>
  </si>
  <si>
    <t>HOUSE NO.P-670-B, ST NO.13, MOHALLA ANGAT PURA DISTRICT RAWALPIN</t>
  </si>
  <si>
    <t>MRS. ASMA RAMAY, MRS. SIDRA RAMAY, MRS. AYESHA RAMAY &amp; MS. SAMRA RAMAY</t>
  </si>
  <si>
    <t>61101-0857453-8, 61101-2638009-6, 61101-2638104-6 &amp; 61101-4503400-4</t>
  </si>
  <si>
    <t>800-00884</t>
  </si>
  <si>
    <t>61101-1803239-9</t>
  </si>
  <si>
    <t>0300-5556906</t>
  </si>
  <si>
    <t>RAJA AMMAR HAMEED</t>
  </si>
  <si>
    <t>MR. MUHAMMAD SHOAIB VIRK</t>
  </si>
  <si>
    <t>800-00882</t>
  </si>
  <si>
    <t>35404-2872047-5</t>
  </si>
  <si>
    <t>HOUSE NO.41, ST NO.04, SECTOR E-11/4, ISLAMABAD</t>
  </si>
  <si>
    <t>0300-8462732</t>
  </si>
  <si>
    <t>MR. SAFI ULLAH KHAN</t>
  </si>
  <si>
    <t>800-00888</t>
  </si>
  <si>
    <t>17301-4500605-1</t>
  </si>
  <si>
    <t>HOUSE NO.10, ST NO.30/1, SECTOR B-1 BHARIA ENCLAVE ISLAMABAD</t>
  </si>
  <si>
    <t>0346-9153335</t>
  </si>
  <si>
    <t xml:space="preserve">MR. SHER MUHAMMAD </t>
  </si>
  <si>
    <t>800-00889</t>
  </si>
  <si>
    <t>HOUSE NO.670, LANE NO.13, CAT-III PHAF OFFICERS RESIDENCIA KURRI ROAD ISLAMABAD</t>
  </si>
  <si>
    <t>MR. MUHAMMAD NASEEM GOHAR</t>
  </si>
  <si>
    <t>800-00885</t>
  </si>
  <si>
    <t>36401-0855241-9</t>
  </si>
  <si>
    <t>RESIDENT OF HOUSE NO.10/N, ARIF WALA DISTRICT PAKPATTAN</t>
  </si>
  <si>
    <t>0303-5047857</t>
  </si>
  <si>
    <t>MR. SAMEE SAEED</t>
  </si>
  <si>
    <t>800-00883</t>
  </si>
  <si>
    <t>54400-2033235-7</t>
  </si>
  <si>
    <t>HOUSE NO.381, ST NO.05, MOHALLAH SATELITE TOWN QUETTA</t>
  </si>
  <si>
    <t>0345-8342273</t>
  </si>
  <si>
    <t>MR. MAAZ RASUL</t>
  </si>
  <si>
    <t>800-00890</t>
  </si>
  <si>
    <t>61101-1516374-7</t>
  </si>
  <si>
    <t>HOUSE NO.582, ST NO.102, SECTOR G-9/4, ISLAMABAD</t>
  </si>
  <si>
    <t>0335-5154443</t>
  </si>
  <si>
    <t>MR. ABDUL WAHAB</t>
  </si>
  <si>
    <t>800-00891</t>
  </si>
  <si>
    <t>42000-4246102-9</t>
  </si>
  <si>
    <t>KAMRAN SHAHID, HOUSE NO.187, NEAR DERA KHALID HAFEEZ KHAN, ST NO. ATTOCK PETROL PUMP SHER SHAH ROAD GARDEN TOWN MULTAN</t>
  </si>
  <si>
    <t>0333-4587329</t>
  </si>
  <si>
    <t>800-00894</t>
  </si>
  <si>
    <t>SARDAR HOUSE GOLLEGE ROAD ABBORABAD</t>
  </si>
  <si>
    <t>MRS. SADAF HUMAYOUN KHAN</t>
  </si>
  <si>
    <t>800-00893</t>
  </si>
  <si>
    <t>61101-1887809-8</t>
  </si>
  <si>
    <t>HOUSE NO.159, ST NO.78, SECTOR G-11/2, ISLAMABAD</t>
  </si>
  <si>
    <t>0333-5131124</t>
  </si>
  <si>
    <t>MRS. SONAL SHAHID</t>
  </si>
  <si>
    <t>800-00892</t>
  </si>
  <si>
    <t>34603-5357819-2</t>
  </si>
  <si>
    <t>HOUSE NO.155, HALI ROAD WESTRIDGE-1, RAWALPINDI CANTT</t>
  </si>
  <si>
    <t>0305-1115155</t>
  </si>
  <si>
    <t>MRS. NAZIA SOHAIL</t>
  </si>
  <si>
    <t>800-00895</t>
  </si>
  <si>
    <t>37301-4272902-4</t>
  </si>
  <si>
    <t>CHANI GUJJRAN POST OFFICE DEENA DISTRICT JEHLUM</t>
  </si>
  <si>
    <t>0300-9525600</t>
  </si>
  <si>
    <t>800-00896</t>
  </si>
  <si>
    <t>POST OFFICE MIR ALI, KHASU KHEL, TEHSIL MIR ALI, DISTRICT NORTH WAZIRISTAN</t>
  </si>
  <si>
    <t>RANA SHAHNAWAZ TARIQ</t>
  </si>
  <si>
    <t>800-00897</t>
  </si>
  <si>
    <t>61101-2318514-3</t>
  </si>
  <si>
    <t>HOUSE NO.621, LANE NO.24, CAT-III, PHAF OFFICERS RESIDENCIA KURRI ROAD ISLAMABAD</t>
  </si>
  <si>
    <t>0333-5218508</t>
  </si>
  <si>
    <t>MR. ADNAN MANZOOR</t>
  </si>
  <si>
    <t>800-00899</t>
  </si>
  <si>
    <t>37405-3830265-1</t>
  </si>
  <si>
    <t>0333-5762097</t>
  </si>
  <si>
    <t>MR. ARSALAN MANZOOR</t>
  </si>
  <si>
    <t>800-00900</t>
  </si>
  <si>
    <t>37405-9799039-5</t>
  </si>
  <si>
    <t>0334-9563674</t>
  </si>
  <si>
    <t>MR. MUHAMMAD FAROOQ MINHAS</t>
  </si>
  <si>
    <t>800-00874</t>
  </si>
  <si>
    <t>61101-2457883-9</t>
  </si>
  <si>
    <t>HOUSE NO.41/B, ST NO.77, SECTOR G-6/1, ISLAMABAD</t>
  </si>
  <si>
    <t>0300-5502686</t>
  </si>
  <si>
    <t>800-00904</t>
  </si>
  <si>
    <t>17301-1632158-5</t>
  </si>
  <si>
    <t>0333-9190588</t>
  </si>
  <si>
    <t>MRS. RAKHSHANDA NASIR, FAISAL MUSTAFA, YASIR HAYAT &amp; MRS. SALEHA BILAL</t>
  </si>
  <si>
    <t>800-00902</t>
  </si>
  <si>
    <t>42000-3814289-8, 42301-2228040-3, 42301-9308312-9 &amp; 42301-2235711-0</t>
  </si>
  <si>
    <t>MR. MUHAMMAD REHAN</t>
  </si>
  <si>
    <t>800-00903</t>
  </si>
  <si>
    <t>61101-1581662-9</t>
  </si>
  <si>
    <t>0334-5269659</t>
  </si>
  <si>
    <t>MR. NAFASAT RAZA</t>
  </si>
  <si>
    <t>800-00907</t>
  </si>
  <si>
    <t>35201-6979171-5</t>
  </si>
  <si>
    <t>HOUSE NO.15, ST NO.06, LANE-V, MOHALLA CALVARY GROUND LAHORE</t>
  </si>
  <si>
    <t>0332-4675454</t>
  </si>
  <si>
    <t>HOUSE NO.236, ST NO.01, MOHALLA MARGALLA TOWM, PHASE-01, ISLAMABAD</t>
  </si>
  <si>
    <t>MR. SAAD HASSAN</t>
  </si>
  <si>
    <t>MR. MUKHTAR AHMAD</t>
  </si>
  <si>
    <t>800-00908</t>
  </si>
  <si>
    <t>61101-3145517-9</t>
  </si>
  <si>
    <t>HOUSE NO.23, ST NO.13, SECTOR I-8/1, ISLAMABAD</t>
  </si>
  <si>
    <t>0321-5150023</t>
  </si>
  <si>
    <t>GALI NO.03, GHOURI GARDEN HOUSE NO.17, DAKHANA KHAS TARLAI ISLAMABAD</t>
  </si>
  <si>
    <t>MR. GUL NAWAZ KHAN</t>
  </si>
  <si>
    <t>800-00906</t>
  </si>
  <si>
    <t>61101-1796244-1</t>
  </si>
  <si>
    <t>HOUSE NO.02, ST NO.39, BLOCK NO.34, SECTOR F-6/1, ISLAMABAD</t>
  </si>
  <si>
    <t>0300-5155059</t>
  </si>
  <si>
    <t>MRS.RUKHSANA AHMAD</t>
  </si>
  <si>
    <t>800-00901</t>
  </si>
  <si>
    <t>37405-0274126-0</t>
  </si>
  <si>
    <t>MR. MUHAMMAD ISHAQ KHAN</t>
  </si>
  <si>
    <t>800-00905</t>
  </si>
  <si>
    <t>11101-1381303-3</t>
  </si>
  <si>
    <t>HOUSE NO.14/E, NEAR NATIONAL BANK OF PAKISTAN MAIN BRANCH. MOHALLA MUHAMMAD HAYAT DISTRICT BANNU</t>
  </si>
  <si>
    <t>0345-9793973</t>
  </si>
  <si>
    <t>800-00910</t>
  </si>
  <si>
    <t>HUMZA HAMID</t>
  </si>
  <si>
    <t>82102-1030739-5</t>
  </si>
  <si>
    <t>FLAT NO.75/9-B, SECTOR G-10/3, ISLAMABAD</t>
  </si>
  <si>
    <t>SYED SHAHID AHMED</t>
  </si>
  <si>
    <t>700-000094</t>
  </si>
  <si>
    <t>37405-0891922-3</t>
  </si>
  <si>
    <t>HOUSE NO.4-A, ST NO.13, SECTOR A DHA-I, RAWALPINDI</t>
  </si>
  <si>
    <t>0300-5157165</t>
  </si>
  <si>
    <t>800-00760</t>
  </si>
  <si>
    <t>MRS. SANA ABBAS NAQVI, SYED MURTAZA ABBAS NAQVI</t>
  </si>
  <si>
    <t>800-00753</t>
  </si>
  <si>
    <t>37405-1308343-4 &amp; 37405-2039158-3</t>
  </si>
  <si>
    <t>HOUSE NO.128-D, SECTOR-1, MOHALLA, KHAYABAN-E-SIRSYED RAWALPINDI</t>
  </si>
  <si>
    <t>0308-8888392</t>
  </si>
  <si>
    <t>HOUSE NO.07, ST NO.02, BLOCK-G, SOAN GARDEN, ISLAMABAD</t>
  </si>
  <si>
    <t>HOUSE NO.08, BLOCK NO.16, ST NO.05, SECTOR I-8/1, ISLAMABAD (NEAR TO ABBASI GRAVEYARD)</t>
  </si>
  <si>
    <t>0330-8146467</t>
  </si>
  <si>
    <t>HOUSE NO.1, ST NO.27, KORANG TOWN, ISLAMABAD</t>
  </si>
  <si>
    <t>0309-8999933</t>
  </si>
  <si>
    <t>MIAN MUHAMMAD FARAZ KHALID</t>
  </si>
  <si>
    <t>800-00911</t>
  </si>
  <si>
    <t>37405-6842346-1</t>
  </si>
  <si>
    <t>HOUSE NO.400/17-C, LANE NO.07, RAWALPINDI CANTT TEHSIL &amp; DISTRICT RAWALPINDI</t>
  </si>
  <si>
    <t>0335-5867777</t>
  </si>
  <si>
    <t>MR. MUHAMMAD ASHRAF SANGRI</t>
  </si>
  <si>
    <t>800-00913</t>
  </si>
  <si>
    <t>45204-8354211-1</t>
  </si>
  <si>
    <t>FLAT NO.DS-15, BLOCK NO.03, MOHALLAH BATH ISLAND CALIFTON KARACHI</t>
  </si>
  <si>
    <t>HOUSE NO.20, LANE NO.15, SECTOR-D, DHA-2, ISLAMABAD</t>
  </si>
  <si>
    <t>0321-5856203</t>
  </si>
  <si>
    <t>STATUS</t>
  </si>
  <si>
    <t>Allottees Name</t>
  </si>
  <si>
    <t>Allottees NAME</t>
  </si>
  <si>
    <t>Remarks</t>
  </si>
  <si>
    <t>Category</t>
  </si>
  <si>
    <t>Cat-III</t>
  </si>
  <si>
    <t>Cat-II</t>
  </si>
  <si>
    <t>Cat-I</t>
  </si>
  <si>
    <t xml:space="preserve">Finished </t>
  </si>
  <si>
    <t>Under construction</t>
  </si>
  <si>
    <t>Finished</t>
  </si>
  <si>
    <t>Grey Strucutre</t>
  </si>
  <si>
    <t>Grey Structure</t>
  </si>
  <si>
    <t>Under Construction</t>
  </si>
  <si>
    <t>Total</t>
  </si>
  <si>
    <t>Summary of Finished, Grey Structure 
&amp; Under Construction houses</t>
  </si>
  <si>
    <t>Area per House</t>
  </si>
  <si>
    <t>Type</t>
  </si>
  <si>
    <t>Area
In Sft</t>
  </si>
  <si>
    <t>Size</t>
  </si>
  <si>
    <t>Effective Date</t>
  </si>
  <si>
    <t>Monthly</t>
  </si>
  <si>
    <t>Todate</t>
  </si>
  <si>
    <t>Duration</t>
  </si>
  <si>
    <t>Maintenance (occupancy Charges)</t>
  </si>
  <si>
    <t>Annual</t>
  </si>
  <si>
    <t>Maintenance (Occupancy Charges)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</si>
</sst>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/mmm/yy;@"/>
    <numFmt numFmtId="165" formatCode="m/d/yyyy;@"/>
  </numFmts>
  <fonts count="2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</borders>
  <cellStyleXfs count="2">
    <xf numFmtId="0" fontId="0" fillId="0" borderId="0"/>
    <xf numFmtId="43" fontId="14" fillId="0" borderId="0" applyFont="0" applyFill="0" applyBorder="0" applyAlignment="0" applyProtection="0"/>
  </cellStyleXfs>
  <cellXfs count="93">
    <xf numFmtId="0" fontId="0" fillId="0" borderId="0" xfId="0"/>
    <xf numFmtId="0" fontId="10" fillId="0" borderId="1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1" fontId="11" fillId="0" borderId="1" xfId="0" applyNumberFormat="1" applyFont="1" applyBorder="1" applyAlignment="1">
      <alignment vertical="center" wrapText="1"/>
    </xf>
    <xf numFmtId="1" fontId="11" fillId="0" borderId="1" xfId="0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1" fontId="9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1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vertical="center" wrapText="1"/>
    </xf>
    <xf numFmtId="1" fontId="0" fillId="0" borderId="1" xfId="0" applyNumberForma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164" fontId="0" fillId="0" borderId="0" xfId="0" applyNumberForma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vertical="center"/>
    </xf>
    <xf numFmtId="43" fontId="0" fillId="0" borderId="1" xfId="1" applyFont="1" applyFill="1" applyBorder="1" applyAlignment="1">
      <alignment vertical="center"/>
    </xf>
    <xf numFmtId="1" fontId="0" fillId="0" borderId="1" xfId="0" applyNumberFormat="1" applyBorder="1"/>
    <xf numFmtId="0" fontId="15" fillId="0" borderId="1" xfId="0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11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164" fontId="9" fillId="0" borderId="1" xfId="0" applyNumberFormat="1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/>
    </xf>
    <xf numFmtId="0" fontId="0" fillId="0" borderId="1" xfId="0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64" fontId="0" fillId="2" borderId="1" xfId="0" applyNumberFormat="1" applyFill="1" applyBorder="1" applyAlignment="1">
      <alignment vertical="center" wrapText="1"/>
    </xf>
    <xf numFmtId="0" fontId="12" fillId="2" borderId="1" xfId="0" applyFont="1" applyFill="1" applyBorder="1"/>
    <xf numFmtId="1" fontId="0" fillId="2" borderId="1" xfId="0" applyNumberForma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1" fontId="0" fillId="2" borderId="1" xfId="0" applyNumberForma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18" fillId="0" borderId="1" xfId="0" applyFont="1" applyBorder="1"/>
    <xf numFmtId="0" fontId="19" fillId="0" borderId="1" xfId="0" applyFont="1" applyBorder="1"/>
    <xf numFmtId="0" fontId="10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4" xfId="0" applyBorder="1"/>
    <xf numFmtId="0" fontId="19" fillId="0" borderId="6" xfId="0" applyFont="1" applyBorder="1"/>
    <xf numFmtId="0" fontId="0" fillId="0" borderId="6" xfId="0" applyBorder="1"/>
    <xf numFmtId="0" fontId="0" fillId="0" borderId="7" xfId="0" applyBorder="1"/>
    <xf numFmtId="0" fontId="19" fillId="0" borderId="3" xfId="0" applyFont="1" applyBorder="1"/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43" fontId="23" fillId="0" borderId="0" xfId="1" applyFont="1" applyAlignment="1">
      <alignment horizontal="center" vertical="center"/>
    </xf>
    <xf numFmtId="43" fontId="22" fillId="0" borderId="0" xfId="1" applyFont="1" applyAlignment="1">
      <alignment vertical="center"/>
    </xf>
    <xf numFmtId="43" fontId="23" fillId="0" borderId="0" xfId="1" applyFont="1" applyAlignment="1">
      <alignment vertical="center"/>
    </xf>
    <xf numFmtId="43" fontId="0" fillId="0" borderId="0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20" fillId="0" borderId="8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R180"/>
  <sheetViews>
    <sheetView topLeftCell="E1" zoomScale="85" zoomScaleNormal="85" workbookViewId="0">
      <pane ySplit="1" topLeftCell="A107" activePane="bottomLeft" state="frozen"/>
      <selection pane="bottomLeft" activeCell="M117" sqref="M117"/>
    </sheetView>
  </sheetViews>
  <sheetFormatPr defaultColWidth="9.109375" defaultRowHeight="14.4"/>
  <cols>
    <col min="1" max="1" width="9.5546875" style="25" bestFit="1" customWidth="1"/>
    <col min="2" max="2" width="17" style="25" customWidth="1"/>
    <col min="3" max="3" width="37.109375" style="20" customWidth="1"/>
    <col min="4" max="4" width="37.6640625" style="20" customWidth="1"/>
    <col min="5" max="5" width="9.44140625" style="25" customWidth="1"/>
    <col min="6" max="8" width="11" style="25" customWidth="1"/>
    <col min="9" max="9" width="13.5546875" style="25" customWidth="1"/>
    <col min="10" max="12" width="18" style="8" customWidth="1"/>
    <col min="13" max="13" width="18.109375" style="25" bestFit="1" customWidth="1"/>
    <col min="14" max="14" width="14.6640625" style="25" bestFit="1" customWidth="1"/>
    <col min="15" max="15" width="38.5546875" style="20" bestFit="1" customWidth="1"/>
    <col min="16" max="16" width="15.44140625" style="8" bestFit="1" customWidth="1"/>
    <col min="17" max="17" width="13.88671875" style="25" bestFit="1" customWidth="1"/>
    <col min="18" max="18" width="19" style="8" customWidth="1"/>
    <col min="19" max="16384" width="9.109375" style="8"/>
  </cols>
  <sheetData>
    <row r="1" spans="1:18" s="2" customFormat="1" ht="43.2">
      <c r="A1" s="1" t="s">
        <v>0</v>
      </c>
      <c r="B1" s="1" t="s">
        <v>1</v>
      </c>
      <c r="C1" s="3" t="s">
        <v>2546</v>
      </c>
      <c r="D1" s="4" t="s">
        <v>4</v>
      </c>
      <c r="E1" s="1" t="s">
        <v>2</v>
      </c>
      <c r="F1" s="1" t="s">
        <v>3</v>
      </c>
      <c r="G1" s="1" t="s">
        <v>2549</v>
      </c>
      <c r="H1" s="71" t="s">
        <v>2563</v>
      </c>
      <c r="I1" s="71" t="s">
        <v>2569</v>
      </c>
      <c r="J1" s="71" t="s">
        <v>2565</v>
      </c>
      <c r="K1" s="71" t="s">
        <v>2567</v>
      </c>
      <c r="L1" s="71" t="s">
        <v>2568</v>
      </c>
      <c r="M1" s="71" t="s">
        <v>2570</v>
      </c>
      <c r="N1" s="71" t="s">
        <v>2566</v>
      </c>
      <c r="O1" s="3" t="s">
        <v>5</v>
      </c>
      <c r="P1" s="1" t="s">
        <v>6</v>
      </c>
      <c r="Q1" s="1" t="s">
        <v>2545</v>
      </c>
      <c r="R1" s="41" t="s">
        <v>2548</v>
      </c>
    </row>
    <row r="2" spans="1:18" ht="28.8">
      <c r="A2" s="5">
        <v>1</v>
      </c>
      <c r="B2" s="5" t="s">
        <v>2489</v>
      </c>
      <c r="C2" s="6" t="s">
        <v>2488</v>
      </c>
      <c r="D2" s="7" t="s">
        <v>2490</v>
      </c>
      <c r="E2" s="5">
        <v>1</v>
      </c>
      <c r="F2" s="5">
        <v>1</v>
      </c>
      <c r="G2" s="5" t="s">
        <v>2552</v>
      </c>
      <c r="H2" s="5">
        <v>4720</v>
      </c>
      <c r="I2" s="5">
        <v>0.83</v>
      </c>
      <c r="J2" s="82">
        <v>45127</v>
      </c>
      <c r="K2" s="82">
        <v>45867</v>
      </c>
      <c r="L2" s="81">
        <f>DATEDIF(J2,K2,"M")</f>
        <v>24</v>
      </c>
      <c r="M2" s="5">
        <f>I2*H2*L2</f>
        <v>94022.399999999994</v>
      </c>
      <c r="N2" s="5">
        <f>M2/24</f>
        <v>3917.6</v>
      </c>
      <c r="O2" s="6" t="s">
        <v>2491</v>
      </c>
      <c r="P2" s="5" t="s">
        <v>2492</v>
      </c>
      <c r="Q2" s="27" t="s">
        <v>2553</v>
      </c>
      <c r="R2" s="38"/>
    </row>
    <row r="3" spans="1:18" ht="28.8">
      <c r="A3" s="5">
        <v>2</v>
      </c>
      <c r="B3" s="5" t="s">
        <v>7</v>
      </c>
      <c r="C3" s="6" t="s">
        <v>8</v>
      </c>
      <c r="D3" s="7" t="s">
        <v>10</v>
      </c>
      <c r="E3" s="5">
        <v>1</v>
      </c>
      <c r="F3" s="5" t="s">
        <v>9</v>
      </c>
      <c r="G3" s="5" t="s">
        <v>2552</v>
      </c>
      <c r="H3" s="5">
        <v>4720</v>
      </c>
      <c r="I3" s="5">
        <v>0.83</v>
      </c>
      <c r="J3" s="82">
        <v>45127</v>
      </c>
      <c r="K3" s="82">
        <v>45867</v>
      </c>
      <c r="L3" s="81">
        <f t="shared" ref="L3:L66" si="0">DATEDIF(J3,K3,"M")</f>
        <v>24</v>
      </c>
      <c r="M3" s="5">
        <f t="shared" ref="M3:M66" si="1">I3*H3*L3</f>
        <v>94022.399999999994</v>
      </c>
      <c r="N3" s="5">
        <f t="shared" ref="N3:N66" si="2">M3/24</f>
        <v>3917.6</v>
      </c>
      <c r="O3" s="6" t="s">
        <v>11</v>
      </c>
      <c r="P3" s="5" t="s">
        <v>12</v>
      </c>
      <c r="Q3" s="5" t="s">
        <v>2553</v>
      </c>
      <c r="R3" s="38"/>
    </row>
    <row r="4" spans="1:18" ht="43.2">
      <c r="A4" s="57">
        <v>3</v>
      </c>
      <c r="B4" s="57" t="s">
        <v>13</v>
      </c>
      <c r="C4" s="64" t="s">
        <v>14</v>
      </c>
      <c r="D4" s="65" t="s">
        <v>15</v>
      </c>
      <c r="E4" s="57">
        <v>1</v>
      </c>
      <c r="F4" s="57">
        <v>3</v>
      </c>
      <c r="G4" s="57" t="s">
        <v>2552</v>
      </c>
      <c r="H4" s="5">
        <v>4720</v>
      </c>
      <c r="I4" s="5">
        <v>0.83</v>
      </c>
      <c r="J4" s="82">
        <v>45127</v>
      </c>
      <c r="K4" s="82">
        <v>45867</v>
      </c>
      <c r="L4" s="81">
        <f t="shared" si="0"/>
        <v>24</v>
      </c>
      <c r="M4" s="5">
        <f t="shared" si="1"/>
        <v>94022.399999999994</v>
      </c>
      <c r="N4" s="5">
        <f t="shared" si="2"/>
        <v>3917.6</v>
      </c>
      <c r="O4" s="66" t="s">
        <v>16</v>
      </c>
      <c r="P4" s="57" t="s">
        <v>17</v>
      </c>
      <c r="Q4" s="5" t="s">
        <v>2553</v>
      </c>
      <c r="R4" s="60"/>
    </row>
    <row r="5" spans="1:18" ht="28.8">
      <c r="A5" s="5">
        <v>4</v>
      </c>
      <c r="B5" s="5" t="s">
        <v>18</v>
      </c>
      <c r="C5" s="6" t="s">
        <v>19</v>
      </c>
      <c r="D5" s="7" t="s">
        <v>20</v>
      </c>
      <c r="E5" s="5">
        <v>1</v>
      </c>
      <c r="F5" s="5">
        <v>4</v>
      </c>
      <c r="G5" s="5" t="s">
        <v>2552</v>
      </c>
      <c r="H5" s="5">
        <v>4720</v>
      </c>
      <c r="I5" s="5">
        <v>0.83</v>
      </c>
      <c r="J5" s="82">
        <v>45127</v>
      </c>
      <c r="K5" s="82">
        <v>45867</v>
      </c>
      <c r="L5" s="81">
        <f t="shared" si="0"/>
        <v>24</v>
      </c>
      <c r="M5" s="5">
        <f t="shared" si="1"/>
        <v>94022.399999999994</v>
      </c>
      <c r="N5" s="5">
        <f t="shared" si="2"/>
        <v>3917.6</v>
      </c>
      <c r="O5" s="6" t="s">
        <v>21</v>
      </c>
      <c r="P5" s="5" t="s">
        <v>22</v>
      </c>
      <c r="Q5" s="5" t="s">
        <v>2553</v>
      </c>
      <c r="R5" s="38"/>
    </row>
    <row r="6" spans="1:18" ht="28.8">
      <c r="A6" s="5">
        <v>5</v>
      </c>
      <c r="B6" s="5">
        <v>71317</v>
      </c>
      <c r="C6" s="6" t="s">
        <v>23</v>
      </c>
      <c r="D6" s="7" t="s">
        <v>24</v>
      </c>
      <c r="E6" s="5">
        <v>1</v>
      </c>
      <c r="F6" s="5">
        <v>5</v>
      </c>
      <c r="G6" s="5" t="s">
        <v>2552</v>
      </c>
      <c r="H6" s="5">
        <v>4720</v>
      </c>
      <c r="I6" s="5">
        <v>0.83</v>
      </c>
      <c r="J6" s="82">
        <v>45127</v>
      </c>
      <c r="K6" s="82">
        <v>45867</v>
      </c>
      <c r="L6" s="81">
        <f t="shared" si="0"/>
        <v>24</v>
      </c>
      <c r="M6" s="5">
        <f t="shared" si="1"/>
        <v>94022.399999999994</v>
      </c>
      <c r="N6" s="5">
        <f t="shared" si="2"/>
        <v>3917.6</v>
      </c>
      <c r="O6" s="6" t="s">
        <v>25</v>
      </c>
      <c r="P6" s="5" t="s">
        <v>26</v>
      </c>
      <c r="Q6" s="5" t="s">
        <v>2553</v>
      </c>
      <c r="R6" s="38"/>
    </row>
    <row r="7" spans="1:18" ht="43.2">
      <c r="A7" s="57">
        <v>6</v>
      </c>
      <c r="B7" s="57">
        <v>71175</v>
      </c>
      <c r="C7" s="66" t="s">
        <v>27</v>
      </c>
      <c r="D7" s="67" t="s">
        <v>28</v>
      </c>
      <c r="E7" s="57">
        <v>1</v>
      </c>
      <c r="F7" s="57">
        <v>6</v>
      </c>
      <c r="G7" s="57" t="s">
        <v>2552</v>
      </c>
      <c r="H7" s="5">
        <v>4720</v>
      </c>
      <c r="I7" s="5">
        <v>0.83</v>
      </c>
      <c r="J7" s="82">
        <v>45127</v>
      </c>
      <c r="K7" s="82">
        <v>45867</v>
      </c>
      <c r="L7" s="81">
        <f t="shared" si="0"/>
        <v>24</v>
      </c>
      <c r="M7" s="5">
        <f>N7*L7</f>
        <v>120000</v>
      </c>
      <c r="N7" s="5">
        <v>5000</v>
      </c>
      <c r="O7" s="66" t="s">
        <v>29</v>
      </c>
      <c r="P7" s="57" t="s">
        <v>30</v>
      </c>
      <c r="Q7" s="5" t="s">
        <v>2556</v>
      </c>
      <c r="R7" s="60"/>
    </row>
    <row r="8" spans="1:18" ht="28.8">
      <c r="A8" s="5">
        <v>7</v>
      </c>
      <c r="B8" s="5">
        <v>71224</v>
      </c>
      <c r="C8" s="6" t="s">
        <v>31</v>
      </c>
      <c r="D8" s="7" t="s">
        <v>32</v>
      </c>
      <c r="E8" s="5">
        <v>1</v>
      </c>
      <c r="F8" s="5">
        <v>7</v>
      </c>
      <c r="G8" s="5" t="s">
        <v>2552</v>
      </c>
      <c r="H8" s="5">
        <v>4720</v>
      </c>
      <c r="I8" s="5">
        <v>0.83</v>
      </c>
      <c r="J8" s="82">
        <v>45127</v>
      </c>
      <c r="K8" s="82">
        <v>45867</v>
      </c>
      <c r="L8" s="81">
        <f t="shared" si="0"/>
        <v>24</v>
      </c>
      <c r="M8" s="5">
        <f t="shared" si="1"/>
        <v>94022.399999999994</v>
      </c>
      <c r="N8" s="5">
        <f t="shared" si="2"/>
        <v>3917.6</v>
      </c>
      <c r="O8" s="6" t="s">
        <v>33</v>
      </c>
      <c r="P8" s="5" t="s">
        <v>34</v>
      </c>
      <c r="Q8" s="5" t="s">
        <v>2553</v>
      </c>
      <c r="R8" s="38"/>
    </row>
    <row r="9" spans="1:18" ht="28.8">
      <c r="A9" s="5">
        <v>8</v>
      </c>
      <c r="B9" s="5">
        <v>71114</v>
      </c>
      <c r="C9" s="6" t="s">
        <v>35</v>
      </c>
      <c r="D9" s="7" t="s">
        <v>36</v>
      </c>
      <c r="E9" s="5">
        <v>1</v>
      </c>
      <c r="F9" s="5">
        <v>8</v>
      </c>
      <c r="G9" s="5" t="s">
        <v>2552</v>
      </c>
      <c r="H9" s="5">
        <v>4720</v>
      </c>
      <c r="I9" s="5">
        <v>0.83</v>
      </c>
      <c r="J9" s="82">
        <v>45127</v>
      </c>
      <c r="K9" s="82">
        <v>45867</v>
      </c>
      <c r="L9" s="81">
        <f t="shared" si="0"/>
        <v>24</v>
      </c>
      <c r="M9" s="5">
        <f t="shared" si="1"/>
        <v>94022.399999999994</v>
      </c>
      <c r="N9" s="5">
        <f t="shared" si="2"/>
        <v>3917.6</v>
      </c>
      <c r="O9" s="6" t="s">
        <v>37</v>
      </c>
      <c r="P9" s="5" t="s">
        <v>38</v>
      </c>
      <c r="Q9" s="5" t="s">
        <v>2553</v>
      </c>
      <c r="R9" s="38"/>
    </row>
    <row r="10" spans="1:18" ht="43.2">
      <c r="A10" s="5">
        <v>9</v>
      </c>
      <c r="B10" s="5" t="s">
        <v>39</v>
      </c>
      <c r="C10" s="6" t="s">
        <v>40</v>
      </c>
      <c r="D10" s="7" t="s">
        <v>41</v>
      </c>
      <c r="E10" s="5">
        <v>1</v>
      </c>
      <c r="F10" s="5">
        <v>9</v>
      </c>
      <c r="G10" s="5" t="s">
        <v>2552</v>
      </c>
      <c r="H10" s="5">
        <v>4720</v>
      </c>
      <c r="I10" s="5">
        <v>0.83</v>
      </c>
      <c r="J10" s="82">
        <v>45127</v>
      </c>
      <c r="K10" s="82">
        <v>45867</v>
      </c>
      <c r="L10" s="81">
        <f t="shared" si="0"/>
        <v>24</v>
      </c>
      <c r="M10" s="5">
        <f t="shared" si="1"/>
        <v>94022.399999999994</v>
      </c>
      <c r="N10" s="5">
        <f t="shared" si="2"/>
        <v>3917.6</v>
      </c>
      <c r="O10" s="6" t="s">
        <v>42</v>
      </c>
      <c r="P10" s="5" t="s">
        <v>43</v>
      </c>
      <c r="Q10" s="5" t="s">
        <v>2553</v>
      </c>
      <c r="R10" s="38"/>
    </row>
    <row r="11" spans="1:18" ht="28.8">
      <c r="A11" s="5">
        <v>10</v>
      </c>
      <c r="B11" s="9" t="s">
        <v>44</v>
      </c>
      <c r="C11" s="10" t="s">
        <v>45</v>
      </c>
      <c r="D11" s="11">
        <v>3520283083217</v>
      </c>
      <c r="E11" s="5">
        <v>1</v>
      </c>
      <c r="F11" s="5">
        <v>10</v>
      </c>
      <c r="G11" s="5" t="s">
        <v>2552</v>
      </c>
      <c r="H11" s="5">
        <v>4720</v>
      </c>
      <c r="I11" s="5">
        <v>0.83</v>
      </c>
      <c r="J11" s="82">
        <v>45127</v>
      </c>
      <c r="K11" s="82">
        <v>45867</v>
      </c>
      <c r="L11" s="81">
        <f t="shared" si="0"/>
        <v>24</v>
      </c>
      <c r="M11" s="5">
        <f t="shared" si="1"/>
        <v>94022.399999999994</v>
      </c>
      <c r="N11" s="5">
        <f t="shared" si="2"/>
        <v>3917.6</v>
      </c>
      <c r="O11" s="12" t="s">
        <v>46</v>
      </c>
      <c r="P11" s="13">
        <v>34678622301</v>
      </c>
      <c r="Q11" s="5" t="s">
        <v>2553</v>
      </c>
      <c r="R11" s="38"/>
    </row>
    <row r="12" spans="1:18" ht="28.8">
      <c r="A12" s="5">
        <v>11</v>
      </c>
      <c r="B12" s="5">
        <v>71097</v>
      </c>
      <c r="C12" s="6" t="s">
        <v>47</v>
      </c>
      <c r="D12" s="7">
        <v>6110197149795</v>
      </c>
      <c r="E12" s="5">
        <v>1</v>
      </c>
      <c r="F12" s="5">
        <v>11</v>
      </c>
      <c r="G12" s="5" t="s">
        <v>2552</v>
      </c>
      <c r="H12" s="5">
        <v>4720</v>
      </c>
      <c r="I12" s="5">
        <v>0.83</v>
      </c>
      <c r="J12" s="82">
        <v>45127</v>
      </c>
      <c r="K12" s="82">
        <v>45867</v>
      </c>
      <c r="L12" s="81">
        <f t="shared" si="0"/>
        <v>24</v>
      </c>
      <c r="M12" s="5">
        <f t="shared" si="1"/>
        <v>94022.399999999994</v>
      </c>
      <c r="N12" s="5">
        <f t="shared" si="2"/>
        <v>3917.6</v>
      </c>
      <c r="O12" s="42" t="s">
        <v>48</v>
      </c>
      <c r="P12" s="5">
        <v>3005559220</v>
      </c>
      <c r="Q12" s="5" t="s">
        <v>2553</v>
      </c>
      <c r="R12" s="38"/>
    </row>
    <row r="13" spans="1:18" ht="28.8">
      <c r="A13" s="5">
        <v>12</v>
      </c>
      <c r="B13" s="5" t="s">
        <v>49</v>
      </c>
      <c r="C13" s="6" t="s">
        <v>50</v>
      </c>
      <c r="D13" s="7" t="s">
        <v>51</v>
      </c>
      <c r="E13" s="5">
        <v>1</v>
      </c>
      <c r="F13" s="5">
        <v>12</v>
      </c>
      <c r="G13" s="5" t="s">
        <v>2552</v>
      </c>
      <c r="H13" s="5">
        <v>4720</v>
      </c>
      <c r="I13" s="5">
        <v>0.83</v>
      </c>
      <c r="J13" s="82">
        <v>45127</v>
      </c>
      <c r="K13" s="82">
        <v>45867</v>
      </c>
      <c r="L13" s="81">
        <f t="shared" si="0"/>
        <v>24</v>
      </c>
      <c r="M13" s="5">
        <f>N13*L13</f>
        <v>120000</v>
      </c>
      <c r="N13" s="5">
        <v>5000</v>
      </c>
      <c r="O13" s="6" t="s">
        <v>52</v>
      </c>
      <c r="P13" s="5"/>
      <c r="Q13" s="5" t="s">
        <v>2556</v>
      </c>
      <c r="R13" s="38"/>
    </row>
    <row r="14" spans="1:18" ht="28.8">
      <c r="A14" s="5">
        <v>13</v>
      </c>
      <c r="B14" s="5" t="s">
        <v>53</v>
      </c>
      <c r="C14" s="6" t="s">
        <v>54</v>
      </c>
      <c r="D14" s="7">
        <v>6110119948477</v>
      </c>
      <c r="E14" s="5">
        <v>1</v>
      </c>
      <c r="F14" s="5">
        <v>13</v>
      </c>
      <c r="G14" s="5" t="s">
        <v>2552</v>
      </c>
      <c r="H14" s="5">
        <v>4720</v>
      </c>
      <c r="I14" s="5">
        <v>0.83</v>
      </c>
      <c r="J14" s="82">
        <v>45127</v>
      </c>
      <c r="K14" s="82">
        <v>45867</v>
      </c>
      <c r="L14" s="81">
        <f t="shared" si="0"/>
        <v>24</v>
      </c>
      <c r="M14" s="5">
        <f t="shared" si="1"/>
        <v>94022.399999999994</v>
      </c>
      <c r="N14" s="5">
        <f t="shared" si="2"/>
        <v>3917.6</v>
      </c>
      <c r="O14" s="6" t="s">
        <v>55</v>
      </c>
      <c r="P14" s="5" t="s">
        <v>56</v>
      </c>
      <c r="Q14" s="5" t="s">
        <v>2553</v>
      </c>
      <c r="R14" s="38"/>
    </row>
    <row r="15" spans="1:18" ht="28.8">
      <c r="A15" s="5">
        <v>14</v>
      </c>
      <c r="B15" s="5">
        <v>71227</v>
      </c>
      <c r="C15" s="6" t="s">
        <v>57</v>
      </c>
      <c r="D15" s="7" t="s">
        <v>58</v>
      </c>
      <c r="E15" s="5">
        <v>1</v>
      </c>
      <c r="F15" s="5">
        <v>14</v>
      </c>
      <c r="G15" s="5" t="s">
        <v>2552</v>
      </c>
      <c r="H15" s="5">
        <v>4720</v>
      </c>
      <c r="I15" s="5">
        <v>0.83</v>
      </c>
      <c r="J15" s="82">
        <v>45127</v>
      </c>
      <c r="K15" s="82">
        <v>45867</v>
      </c>
      <c r="L15" s="81">
        <f t="shared" si="0"/>
        <v>24</v>
      </c>
      <c r="M15" s="5">
        <f t="shared" si="1"/>
        <v>94022.399999999994</v>
      </c>
      <c r="N15" s="5">
        <f t="shared" si="2"/>
        <v>3917.6</v>
      </c>
      <c r="O15" s="6" t="s">
        <v>59</v>
      </c>
      <c r="P15" s="5" t="s">
        <v>60</v>
      </c>
      <c r="Q15" s="5" t="s">
        <v>2553</v>
      </c>
      <c r="R15" s="38"/>
    </row>
    <row r="16" spans="1:18" ht="28.8">
      <c r="A16" s="5">
        <v>15</v>
      </c>
      <c r="B16" s="5" t="s">
        <v>61</v>
      </c>
      <c r="C16" s="6" t="s">
        <v>62</v>
      </c>
      <c r="D16" s="7">
        <v>3520264553069</v>
      </c>
      <c r="E16" s="5">
        <v>1</v>
      </c>
      <c r="F16" s="5">
        <v>15</v>
      </c>
      <c r="G16" s="5" t="s">
        <v>2552</v>
      </c>
      <c r="H16" s="5">
        <v>4720</v>
      </c>
      <c r="I16" s="5">
        <v>0.83</v>
      </c>
      <c r="J16" s="82">
        <v>45127</v>
      </c>
      <c r="K16" s="82">
        <v>45867</v>
      </c>
      <c r="L16" s="81">
        <f t="shared" si="0"/>
        <v>24</v>
      </c>
      <c r="M16" s="5">
        <f t="shared" si="1"/>
        <v>94022.399999999994</v>
      </c>
      <c r="N16" s="5">
        <f t="shared" si="2"/>
        <v>3917.6</v>
      </c>
      <c r="O16" s="6" t="s">
        <v>63</v>
      </c>
      <c r="P16" s="5" t="s">
        <v>64</v>
      </c>
      <c r="Q16" s="5" t="s">
        <v>2553</v>
      </c>
      <c r="R16" s="38"/>
    </row>
    <row r="17" spans="1:18" ht="28.8">
      <c r="A17" s="5">
        <v>16</v>
      </c>
      <c r="B17" s="5" t="s">
        <v>65</v>
      </c>
      <c r="C17" s="6" t="s">
        <v>66</v>
      </c>
      <c r="D17" s="7">
        <v>1730184906369</v>
      </c>
      <c r="E17" s="5">
        <v>1</v>
      </c>
      <c r="F17" s="5">
        <v>16</v>
      </c>
      <c r="G17" s="5" t="s">
        <v>2552</v>
      </c>
      <c r="H17" s="5">
        <v>4720</v>
      </c>
      <c r="I17" s="5">
        <v>0.83</v>
      </c>
      <c r="J17" s="82">
        <v>45127</v>
      </c>
      <c r="K17" s="82">
        <v>45867</v>
      </c>
      <c r="L17" s="81">
        <f t="shared" si="0"/>
        <v>24</v>
      </c>
      <c r="M17" s="5">
        <f t="shared" si="1"/>
        <v>94022.399999999994</v>
      </c>
      <c r="N17" s="5">
        <f t="shared" si="2"/>
        <v>3917.6</v>
      </c>
      <c r="O17" s="6" t="s">
        <v>67</v>
      </c>
      <c r="P17" s="5" t="s">
        <v>68</v>
      </c>
      <c r="Q17" s="5" t="s">
        <v>2553</v>
      </c>
      <c r="R17" s="38"/>
    </row>
    <row r="18" spans="1:18" ht="28.8">
      <c r="A18" s="5">
        <v>17</v>
      </c>
      <c r="B18" s="5" t="s">
        <v>69</v>
      </c>
      <c r="C18" s="6" t="s">
        <v>70</v>
      </c>
      <c r="D18" s="7">
        <v>4230126125469</v>
      </c>
      <c r="E18" s="5">
        <v>8</v>
      </c>
      <c r="F18" s="5">
        <v>17</v>
      </c>
      <c r="G18" s="5" t="s">
        <v>2552</v>
      </c>
      <c r="H18" s="5">
        <v>4720</v>
      </c>
      <c r="I18" s="5">
        <v>0.83</v>
      </c>
      <c r="J18" s="82">
        <v>45127</v>
      </c>
      <c r="K18" s="82">
        <v>45867</v>
      </c>
      <c r="L18" s="81">
        <f t="shared" si="0"/>
        <v>24</v>
      </c>
      <c r="M18" s="5">
        <f>N18*L18</f>
        <v>120000</v>
      </c>
      <c r="N18" s="5">
        <v>5000</v>
      </c>
      <c r="O18" s="6" t="s">
        <v>71</v>
      </c>
      <c r="P18" s="5" t="s">
        <v>72</v>
      </c>
      <c r="Q18" s="5" t="s">
        <v>2556</v>
      </c>
      <c r="R18" s="38"/>
    </row>
    <row r="19" spans="1:18" ht="28.8">
      <c r="A19" s="5">
        <v>18</v>
      </c>
      <c r="B19" s="5">
        <v>71148</v>
      </c>
      <c r="C19" s="6" t="s">
        <v>73</v>
      </c>
      <c r="D19" s="7">
        <v>1730174839637</v>
      </c>
      <c r="E19" s="5">
        <v>8</v>
      </c>
      <c r="F19" s="5">
        <v>18</v>
      </c>
      <c r="G19" s="5" t="s">
        <v>2552</v>
      </c>
      <c r="H19" s="5">
        <v>4720</v>
      </c>
      <c r="I19" s="5">
        <v>0.83</v>
      </c>
      <c r="J19" s="82">
        <v>45127</v>
      </c>
      <c r="K19" s="82">
        <v>45867</v>
      </c>
      <c r="L19" s="81">
        <f t="shared" si="0"/>
        <v>24</v>
      </c>
      <c r="M19" s="5">
        <f t="shared" si="1"/>
        <v>94022.399999999994</v>
      </c>
      <c r="N19" s="5">
        <f t="shared" si="2"/>
        <v>3917.6</v>
      </c>
      <c r="O19" s="6" t="s">
        <v>74</v>
      </c>
      <c r="P19" s="5" t="s">
        <v>75</v>
      </c>
      <c r="Q19" s="5" t="s">
        <v>2553</v>
      </c>
      <c r="R19" s="38"/>
    </row>
    <row r="20" spans="1:18" ht="28.8">
      <c r="A20" s="5">
        <v>19</v>
      </c>
      <c r="B20" s="5">
        <v>71145</v>
      </c>
      <c r="C20" s="6" t="s">
        <v>76</v>
      </c>
      <c r="D20" s="7" t="s">
        <v>77</v>
      </c>
      <c r="E20" s="5">
        <v>8</v>
      </c>
      <c r="F20" s="5">
        <v>19</v>
      </c>
      <c r="G20" s="5" t="s">
        <v>2552</v>
      </c>
      <c r="H20" s="5">
        <v>4720</v>
      </c>
      <c r="I20" s="5">
        <v>0.83</v>
      </c>
      <c r="J20" s="82">
        <v>45127</v>
      </c>
      <c r="K20" s="82">
        <v>45867</v>
      </c>
      <c r="L20" s="81">
        <f t="shared" si="0"/>
        <v>24</v>
      </c>
      <c r="M20" s="5">
        <f t="shared" si="1"/>
        <v>94022.399999999994</v>
      </c>
      <c r="N20" s="5">
        <f t="shared" si="2"/>
        <v>3917.6</v>
      </c>
      <c r="O20" s="6" t="s">
        <v>78</v>
      </c>
      <c r="P20" s="5" t="s">
        <v>79</v>
      </c>
      <c r="Q20" s="5" t="s">
        <v>2553</v>
      </c>
      <c r="R20" s="38"/>
    </row>
    <row r="21" spans="1:18" ht="28.8">
      <c r="A21" s="5">
        <v>20</v>
      </c>
      <c r="B21" s="5" t="s">
        <v>80</v>
      </c>
      <c r="C21" s="6" t="s">
        <v>81</v>
      </c>
      <c r="D21" s="7" t="s">
        <v>82</v>
      </c>
      <c r="E21" s="5">
        <v>8</v>
      </c>
      <c r="F21" s="5">
        <v>20</v>
      </c>
      <c r="G21" s="5" t="s">
        <v>2552</v>
      </c>
      <c r="H21" s="5">
        <v>4720</v>
      </c>
      <c r="I21" s="5">
        <v>0.83</v>
      </c>
      <c r="J21" s="82">
        <v>45127</v>
      </c>
      <c r="K21" s="82">
        <v>45867</v>
      </c>
      <c r="L21" s="81">
        <f t="shared" si="0"/>
        <v>24</v>
      </c>
      <c r="M21" s="5">
        <f t="shared" si="1"/>
        <v>94022.399999999994</v>
      </c>
      <c r="N21" s="5">
        <f t="shared" si="2"/>
        <v>3917.6</v>
      </c>
      <c r="O21" s="15" t="s">
        <v>2376</v>
      </c>
      <c r="P21" s="5" t="s">
        <v>83</v>
      </c>
      <c r="Q21" s="5" t="s">
        <v>2553</v>
      </c>
      <c r="R21" s="38"/>
    </row>
    <row r="22" spans="1:18" ht="28.8">
      <c r="A22" s="5">
        <v>21</v>
      </c>
      <c r="B22" s="5">
        <v>71152</v>
      </c>
      <c r="C22" s="6" t="s">
        <v>84</v>
      </c>
      <c r="D22" s="7" t="s">
        <v>85</v>
      </c>
      <c r="E22" s="5">
        <v>8</v>
      </c>
      <c r="F22" s="5">
        <v>21</v>
      </c>
      <c r="G22" s="5" t="s">
        <v>2552</v>
      </c>
      <c r="H22" s="5">
        <v>4720</v>
      </c>
      <c r="I22" s="5">
        <v>0.83</v>
      </c>
      <c r="J22" s="82">
        <v>45127</v>
      </c>
      <c r="K22" s="82">
        <v>45867</v>
      </c>
      <c r="L22" s="81">
        <f t="shared" si="0"/>
        <v>24</v>
      </c>
      <c r="M22" s="5">
        <f t="shared" si="1"/>
        <v>94022.399999999994</v>
      </c>
      <c r="N22" s="5">
        <f t="shared" si="2"/>
        <v>3917.6</v>
      </c>
      <c r="O22" s="10" t="s">
        <v>86</v>
      </c>
      <c r="P22" s="5" t="s">
        <v>87</v>
      </c>
      <c r="Q22" s="5" t="s">
        <v>2553</v>
      </c>
      <c r="R22" s="38"/>
    </row>
    <row r="23" spans="1:18" ht="28.8">
      <c r="A23" s="5">
        <v>22</v>
      </c>
      <c r="B23" s="5" t="s">
        <v>88</v>
      </c>
      <c r="C23" s="6" t="s">
        <v>89</v>
      </c>
      <c r="D23" s="7">
        <v>6110114977549</v>
      </c>
      <c r="E23" s="5">
        <v>8</v>
      </c>
      <c r="F23" s="5">
        <v>22</v>
      </c>
      <c r="G23" s="5" t="s">
        <v>2552</v>
      </c>
      <c r="H23" s="5">
        <v>4720</v>
      </c>
      <c r="I23" s="5">
        <v>0.83</v>
      </c>
      <c r="J23" s="82">
        <v>45127</v>
      </c>
      <c r="K23" s="82">
        <v>45867</v>
      </c>
      <c r="L23" s="81">
        <f t="shared" si="0"/>
        <v>24</v>
      </c>
      <c r="M23" s="5">
        <f t="shared" si="1"/>
        <v>94022.399999999994</v>
      </c>
      <c r="N23" s="5">
        <f t="shared" si="2"/>
        <v>3917.6</v>
      </c>
      <c r="O23" s="6" t="s">
        <v>90</v>
      </c>
      <c r="P23" s="5">
        <v>3335678888</v>
      </c>
      <c r="Q23" s="5" t="s">
        <v>2553</v>
      </c>
      <c r="R23" s="38"/>
    </row>
    <row r="24" spans="1:18" ht="43.2">
      <c r="A24" s="5">
        <v>23</v>
      </c>
      <c r="B24" s="5" t="s">
        <v>91</v>
      </c>
      <c r="C24" s="6" t="s">
        <v>92</v>
      </c>
      <c r="D24" s="7" t="s">
        <v>93</v>
      </c>
      <c r="E24" s="5">
        <v>8</v>
      </c>
      <c r="F24" s="5">
        <v>23</v>
      </c>
      <c r="G24" s="5" t="s">
        <v>2552</v>
      </c>
      <c r="H24" s="5">
        <v>4720</v>
      </c>
      <c r="I24" s="5">
        <v>0.83</v>
      </c>
      <c r="J24" s="82">
        <v>45127</v>
      </c>
      <c r="K24" s="82">
        <v>45867</v>
      </c>
      <c r="L24" s="81">
        <f t="shared" si="0"/>
        <v>24</v>
      </c>
      <c r="M24" s="5">
        <f t="shared" si="1"/>
        <v>94022.399999999994</v>
      </c>
      <c r="N24" s="5">
        <f t="shared" si="2"/>
        <v>3917.6</v>
      </c>
      <c r="O24" s="6" t="s">
        <v>94</v>
      </c>
      <c r="P24" s="5"/>
      <c r="Q24" s="5" t="s">
        <v>2553</v>
      </c>
      <c r="R24" s="38"/>
    </row>
    <row r="25" spans="1:18" ht="28.8">
      <c r="A25" s="5">
        <v>24</v>
      </c>
      <c r="B25" s="5" t="s">
        <v>95</v>
      </c>
      <c r="C25" s="6" t="s">
        <v>96</v>
      </c>
      <c r="D25" s="7">
        <v>3520116121301</v>
      </c>
      <c r="E25" s="5">
        <v>1</v>
      </c>
      <c r="F25" s="5">
        <v>24</v>
      </c>
      <c r="G25" s="5" t="s">
        <v>2552</v>
      </c>
      <c r="H25" s="5">
        <v>4720</v>
      </c>
      <c r="I25" s="5">
        <v>0.83</v>
      </c>
      <c r="J25" s="82">
        <v>45127</v>
      </c>
      <c r="K25" s="82">
        <v>45867</v>
      </c>
      <c r="L25" s="81">
        <f t="shared" si="0"/>
        <v>24</v>
      </c>
      <c r="M25" s="5">
        <f t="shared" si="1"/>
        <v>94022.399999999994</v>
      </c>
      <c r="N25" s="5">
        <f t="shared" si="2"/>
        <v>3917.6</v>
      </c>
      <c r="O25" s="6" t="s">
        <v>97</v>
      </c>
      <c r="P25" s="5">
        <v>3008436868</v>
      </c>
      <c r="Q25" s="5" t="s">
        <v>2553</v>
      </c>
      <c r="R25" s="38"/>
    </row>
    <row r="26" spans="1:18" ht="28.8">
      <c r="A26" s="5">
        <v>25</v>
      </c>
      <c r="B26" s="5">
        <v>71192</v>
      </c>
      <c r="C26" s="6" t="s">
        <v>98</v>
      </c>
      <c r="D26" s="7" t="s">
        <v>99</v>
      </c>
      <c r="E26" s="5">
        <v>1</v>
      </c>
      <c r="F26" s="5">
        <v>25</v>
      </c>
      <c r="G26" s="5" t="s">
        <v>2552</v>
      </c>
      <c r="H26" s="5">
        <v>4720</v>
      </c>
      <c r="I26" s="5">
        <v>0.83</v>
      </c>
      <c r="J26" s="82">
        <v>45127</v>
      </c>
      <c r="K26" s="82">
        <v>45867</v>
      </c>
      <c r="L26" s="81">
        <f t="shared" si="0"/>
        <v>24</v>
      </c>
      <c r="M26" s="5">
        <f t="shared" si="1"/>
        <v>94022.399999999994</v>
      </c>
      <c r="N26" s="5">
        <f t="shared" si="2"/>
        <v>3917.6</v>
      </c>
      <c r="O26" s="6" t="s">
        <v>100</v>
      </c>
      <c r="P26" s="5">
        <v>3008550578</v>
      </c>
      <c r="Q26" s="5" t="s">
        <v>2553</v>
      </c>
      <c r="R26" s="38"/>
    </row>
    <row r="27" spans="1:18" ht="28.8">
      <c r="A27" s="5">
        <v>26</v>
      </c>
      <c r="B27" s="5">
        <v>71303</v>
      </c>
      <c r="C27" s="6" t="s">
        <v>101</v>
      </c>
      <c r="D27" s="7">
        <v>3520223226459</v>
      </c>
      <c r="E27" s="5">
        <v>1</v>
      </c>
      <c r="F27" s="5">
        <v>26</v>
      </c>
      <c r="G27" s="5" t="s">
        <v>2552</v>
      </c>
      <c r="H27" s="5">
        <v>4720</v>
      </c>
      <c r="I27" s="5">
        <v>0.83</v>
      </c>
      <c r="J27" s="82">
        <v>45127</v>
      </c>
      <c r="K27" s="82">
        <v>45867</v>
      </c>
      <c r="L27" s="81">
        <f t="shared" si="0"/>
        <v>24</v>
      </c>
      <c r="M27" s="5">
        <f t="shared" si="1"/>
        <v>94022.399999999994</v>
      </c>
      <c r="N27" s="5">
        <f t="shared" si="2"/>
        <v>3917.6</v>
      </c>
      <c r="O27" s="6" t="s">
        <v>102</v>
      </c>
      <c r="P27" s="5" t="s">
        <v>103</v>
      </c>
      <c r="Q27" s="5" t="s">
        <v>2553</v>
      </c>
      <c r="R27" s="38"/>
    </row>
    <row r="28" spans="1:18" ht="28.8">
      <c r="A28" s="5">
        <v>27</v>
      </c>
      <c r="B28" s="5">
        <v>71365</v>
      </c>
      <c r="C28" s="6" t="s">
        <v>104</v>
      </c>
      <c r="D28" s="7" t="s">
        <v>105</v>
      </c>
      <c r="E28" s="5">
        <v>1</v>
      </c>
      <c r="F28" s="5">
        <v>27</v>
      </c>
      <c r="G28" s="5" t="s">
        <v>2552</v>
      </c>
      <c r="H28" s="5">
        <v>4720</v>
      </c>
      <c r="I28" s="5">
        <v>0.83</v>
      </c>
      <c r="J28" s="82">
        <v>45127</v>
      </c>
      <c r="K28" s="82">
        <v>45867</v>
      </c>
      <c r="L28" s="81">
        <f t="shared" si="0"/>
        <v>24</v>
      </c>
      <c r="M28" s="5">
        <f t="shared" si="1"/>
        <v>94022.399999999994</v>
      </c>
      <c r="N28" s="5">
        <f t="shared" si="2"/>
        <v>3917.6</v>
      </c>
      <c r="O28" s="42" t="s">
        <v>106</v>
      </c>
      <c r="P28" s="5" t="s">
        <v>107</v>
      </c>
      <c r="Q28" s="5" t="s">
        <v>2553</v>
      </c>
      <c r="R28" s="38"/>
    </row>
    <row r="29" spans="1:18" ht="28.8">
      <c r="A29" s="5">
        <v>28</v>
      </c>
      <c r="B29" s="5" t="s">
        <v>108</v>
      </c>
      <c r="C29" s="6" t="s">
        <v>109</v>
      </c>
      <c r="D29" s="7" t="s">
        <v>110</v>
      </c>
      <c r="E29" s="5">
        <v>1</v>
      </c>
      <c r="F29" s="5">
        <v>28</v>
      </c>
      <c r="G29" s="5" t="s">
        <v>2552</v>
      </c>
      <c r="H29" s="5">
        <v>4720</v>
      </c>
      <c r="I29" s="5">
        <v>0.83</v>
      </c>
      <c r="J29" s="82">
        <v>45127</v>
      </c>
      <c r="K29" s="82">
        <v>45867</v>
      </c>
      <c r="L29" s="81">
        <f t="shared" si="0"/>
        <v>24</v>
      </c>
      <c r="M29" s="5">
        <f t="shared" si="1"/>
        <v>94022.399999999994</v>
      </c>
      <c r="N29" s="5">
        <f t="shared" si="2"/>
        <v>3917.6</v>
      </c>
      <c r="O29" s="6" t="s">
        <v>111</v>
      </c>
      <c r="P29" s="5" t="s">
        <v>112</v>
      </c>
      <c r="Q29" s="5" t="s">
        <v>2553</v>
      </c>
      <c r="R29" s="38"/>
    </row>
    <row r="30" spans="1:18" ht="28.8">
      <c r="A30" s="5">
        <v>29</v>
      </c>
      <c r="B30" s="5">
        <v>71141</v>
      </c>
      <c r="C30" s="6" t="s">
        <v>113</v>
      </c>
      <c r="D30" s="7">
        <v>3520227121481</v>
      </c>
      <c r="E30" s="5">
        <v>1</v>
      </c>
      <c r="F30" s="5">
        <v>29</v>
      </c>
      <c r="G30" s="5" t="s">
        <v>2552</v>
      </c>
      <c r="H30" s="5">
        <v>4720</v>
      </c>
      <c r="I30" s="5">
        <v>0.83</v>
      </c>
      <c r="J30" s="82">
        <v>45127</v>
      </c>
      <c r="K30" s="82">
        <v>45867</v>
      </c>
      <c r="L30" s="81">
        <f t="shared" si="0"/>
        <v>24</v>
      </c>
      <c r="M30" s="5">
        <f t="shared" si="1"/>
        <v>94022.399999999994</v>
      </c>
      <c r="N30" s="5">
        <f t="shared" si="2"/>
        <v>3917.6</v>
      </c>
      <c r="O30" s="6" t="s">
        <v>114</v>
      </c>
      <c r="P30" s="5">
        <v>3005310302</v>
      </c>
      <c r="Q30" s="5" t="s">
        <v>2553</v>
      </c>
      <c r="R30" s="38"/>
    </row>
    <row r="31" spans="1:18" ht="28.8">
      <c r="A31" s="5">
        <v>30</v>
      </c>
      <c r="B31" s="5" t="s">
        <v>115</v>
      </c>
      <c r="C31" s="6" t="s">
        <v>116</v>
      </c>
      <c r="D31" s="7">
        <v>6110133506519</v>
      </c>
      <c r="E31" s="5">
        <v>1</v>
      </c>
      <c r="F31" s="5">
        <v>30</v>
      </c>
      <c r="G31" s="5" t="s">
        <v>2552</v>
      </c>
      <c r="H31" s="5">
        <v>4720</v>
      </c>
      <c r="I31" s="5">
        <v>0.83</v>
      </c>
      <c r="J31" s="82">
        <v>45127</v>
      </c>
      <c r="K31" s="82">
        <v>45867</v>
      </c>
      <c r="L31" s="81">
        <f t="shared" si="0"/>
        <v>24</v>
      </c>
      <c r="M31" s="5">
        <f t="shared" si="1"/>
        <v>94022.399999999994</v>
      </c>
      <c r="N31" s="5">
        <f t="shared" si="2"/>
        <v>3917.6</v>
      </c>
      <c r="O31" s="6" t="s">
        <v>117</v>
      </c>
      <c r="P31" s="5" t="s">
        <v>118</v>
      </c>
      <c r="Q31" s="5" t="s">
        <v>2553</v>
      </c>
      <c r="R31" s="38"/>
    </row>
    <row r="32" spans="1:18" ht="28.8">
      <c r="A32" s="5">
        <v>31</v>
      </c>
      <c r="B32" s="5" t="s">
        <v>119</v>
      </c>
      <c r="C32" s="6" t="s">
        <v>120</v>
      </c>
      <c r="D32" s="7">
        <v>9140002697141</v>
      </c>
      <c r="E32" s="5">
        <v>1</v>
      </c>
      <c r="F32" s="5">
        <v>31</v>
      </c>
      <c r="G32" s="5" t="s">
        <v>2552</v>
      </c>
      <c r="H32" s="5">
        <v>4720</v>
      </c>
      <c r="I32" s="5">
        <v>0.83</v>
      </c>
      <c r="J32" s="82">
        <v>45127</v>
      </c>
      <c r="K32" s="82">
        <v>45867</v>
      </c>
      <c r="L32" s="81">
        <f t="shared" si="0"/>
        <v>24</v>
      </c>
      <c r="M32" s="5">
        <f t="shared" si="1"/>
        <v>94022.399999999994</v>
      </c>
      <c r="N32" s="5">
        <f t="shared" si="2"/>
        <v>3917.6</v>
      </c>
      <c r="O32" s="6" t="s">
        <v>121</v>
      </c>
      <c r="P32" s="5" t="s">
        <v>122</v>
      </c>
      <c r="Q32" s="5" t="s">
        <v>2553</v>
      </c>
      <c r="R32" s="38"/>
    </row>
    <row r="33" spans="1:18" ht="28.8">
      <c r="A33" s="5">
        <v>32</v>
      </c>
      <c r="B33" s="5">
        <v>71127</v>
      </c>
      <c r="C33" s="6" t="s">
        <v>123</v>
      </c>
      <c r="D33" s="7" t="s">
        <v>124</v>
      </c>
      <c r="E33" s="5">
        <v>1</v>
      </c>
      <c r="F33" s="5">
        <v>32</v>
      </c>
      <c r="G33" s="5" t="s">
        <v>2552</v>
      </c>
      <c r="H33" s="5">
        <v>4720</v>
      </c>
      <c r="I33" s="5">
        <v>0.83</v>
      </c>
      <c r="J33" s="82">
        <v>45127</v>
      </c>
      <c r="K33" s="82">
        <v>45867</v>
      </c>
      <c r="L33" s="81">
        <f t="shared" si="0"/>
        <v>24</v>
      </c>
      <c r="M33" s="5">
        <f t="shared" si="1"/>
        <v>94022.399999999994</v>
      </c>
      <c r="N33" s="5">
        <f t="shared" si="2"/>
        <v>3917.6</v>
      </c>
      <c r="O33" s="6" t="s">
        <v>125</v>
      </c>
      <c r="P33" s="5" t="s">
        <v>126</v>
      </c>
      <c r="Q33" s="5" t="s">
        <v>2553</v>
      </c>
      <c r="R33" s="38"/>
    </row>
    <row r="34" spans="1:18" ht="28.8">
      <c r="A34" s="5">
        <v>33</v>
      </c>
      <c r="B34" s="5">
        <v>71195</v>
      </c>
      <c r="C34" s="6" t="s">
        <v>127</v>
      </c>
      <c r="D34" s="7" t="s">
        <v>128</v>
      </c>
      <c r="E34" s="5">
        <v>1</v>
      </c>
      <c r="F34" s="5">
        <v>33</v>
      </c>
      <c r="G34" s="5" t="s">
        <v>2552</v>
      </c>
      <c r="H34" s="5">
        <v>4720</v>
      </c>
      <c r="I34" s="5">
        <v>0.83</v>
      </c>
      <c r="J34" s="82">
        <v>45127</v>
      </c>
      <c r="K34" s="82">
        <v>45867</v>
      </c>
      <c r="L34" s="81">
        <f t="shared" si="0"/>
        <v>24</v>
      </c>
      <c r="M34" s="5">
        <f t="shared" si="1"/>
        <v>94022.399999999994</v>
      </c>
      <c r="N34" s="5">
        <f t="shared" si="2"/>
        <v>3917.6</v>
      </c>
      <c r="O34" s="6" t="s">
        <v>129</v>
      </c>
      <c r="P34" s="5" t="s">
        <v>130</v>
      </c>
      <c r="Q34" s="5" t="s">
        <v>2553</v>
      </c>
      <c r="R34" s="38"/>
    </row>
    <row r="35" spans="1:18" ht="28.8">
      <c r="A35" s="5">
        <v>34</v>
      </c>
      <c r="B35" s="5">
        <v>71250</v>
      </c>
      <c r="C35" s="6" t="s">
        <v>131</v>
      </c>
      <c r="D35" s="7" t="s">
        <v>132</v>
      </c>
      <c r="E35" s="5">
        <v>2</v>
      </c>
      <c r="F35" s="5">
        <v>34</v>
      </c>
      <c r="G35" s="5" t="s">
        <v>2552</v>
      </c>
      <c r="H35" s="5">
        <v>4720</v>
      </c>
      <c r="I35" s="5">
        <v>0.83</v>
      </c>
      <c r="J35" s="82">
        <v>45127</v>
      </c>
      <c r="K35" s="82">
        <v>45867</v>
      </c>
      <c r="L35" s="81">
        <f t="shared" si="0"/>
        <v>24</v>
      </c>
      <c r="M35" s="5">
        <f t="shared" si="1"/>
        <v>94022.399999999994</v>
      </c>
      <c r="N35" s="5">
        <f t="shared" si="2"/>
        <v>3917.6</v>
      </c>
      <c r="O35" s="6" t="s">
        <v>133</v>
      </c>
      <c r="P35" s="5" t="s">
        <v>134</v>
      </c>
      <c r="Q35" s="5" t="s">
        <v>2553</v>
      </c>
      <c r="R35" s="38"/>
    </row>
    <row r="36" spans="1:18" ht="43.2">
      <c r="A36" s="5">
        <v>35</v>
      </c>
      <c r="B36" s="5">
        <v>71001</v>
      </c>
      <c r="C36" s="6" t="s">
        <v>135</v>
      </c>
      <c r="D36" s="7" t="s">
        <v>136</v>
      </c>
      <c r="E36" s="5">
        <v>2</v>
      </c>
      <c r="F36" s="5">
        <v>35</v>
      </c>
      <c r="G36" s="5" t="s">
        <v>2552</v>
      </c>
      <c r="H36" s="5">
        <v>4720</v>
      </c>
      <c r="I36" s="5">
        <v>0.83</v>
      </c>
      <c r="J36" s="82">
        <v>45127</v>
      </c>
      <c r="K36" s="82">
        <v>45867</v>
      </c>
      <c r="L36" s="81">
        <f t="shared" si="0"/>
        <v>24</v>
      </c>
      <c r="M36" s="5">
        <f t="shared" si="1"/>
        <v>94022.399999999994</v>
      </c>
      <c r="N36" s="5">
        <f t="shared" si="2"/>
        <v>3917.6</v>
      </c>
      <c r="O36" s="6" t="s">
        <v>137</v>
      </c>
      <c r="P36" s="5" t="s">
        <v>138</v>
      </c>
      <c r="Q36" s="5" t="s">
        <v>2553</v>
      </c>
      <c r="R36" s="38"/>
    </row>
    <row r="37" spans="1:18" ht="28.8">
      <c r="A37" s="5">
        <v>36</v>
      </c>
      <c r="B37" s="5" t="s">
        <v>139</v>
      </c>
      <c r="C37" s="6" t="s">
        <v>140</v>
      </c>
      <c r="D37" s="7" t="s">
        <v>141</v>
      </c>
      <c r="E37" s="5">
        <v>2</v>
      </c>
      <c r="F37" s="5">
        <v>36</v>
      </c>
      <c r="G37" s="5" t="s">
        <v>2552</v>
      </c>
      <c r="H37" s="5">
        <v>4720</v>
      </c>
      <c r="I37" s="5">
        <v>0.83</v>
      </c>
      <c r="J37" s="82">
        <v>45127</v>
      </c>
      <c r="K37" s="82">
        <v>45867</v>
      </c>
      <c r="L37" s="81">
        <f t="shared" si="0"/>
        <v>24</v>
      </c>
      <c r="M37" s="5">
        <f t="shared" si="1"/>
        <v>94022.399999999994</v>
      </c>
      <c r="N37" s="5">
        <f t="shared" si="2"/>
        <v>3917.6</v>
      </c>
      <c r="O37" s="6" t="s">
        <v>142</v>
      </c>
      <c r="P37" s="5" t="s">
        <v>143</v>
      </c>
      <c r="Q37" s="5" t="s">
        <v>2553</v>
      </c>
      <c r="R37" s="38"/>
    </row>
    <row r="38" spans="1:18" ht="28.8">
      <c r="A38" s="5">
        <v>37</v>
      </c>
      <c r="B38" s="16" t="s">
        <v>144</v>
      </c>
      <c r="C38" s="17" t="s">
        <v>145</v>
      </c>
      <c r="D38" s="18" t="s">
        <v>146</v>
      </c>
      <c r="E38" s="5">
        <v>2</v>
      </c>
      <c r="F38" s="5">
        <v>37</v>
      </c>
      <c r="G38" s="5" t="s">
        <v>2552</v>
      </c>
      <c r="H38" s="5">
        <v>4720</v>
      </c>
      <c r="I38" s="5">
        <v>0.83</v>
      </c>
      <c r="J38" s="82">
        <v>45127</v>
      </c>
      <c r="K38" s="82">
        <v>45867</v>
      </c>
      <c r="L38" s="81">
        <f t="shared" si="0"/>
        <v>24</v>
      </c>
      <c r="M38" s="5">
        <f t="shared" si="1"/>
        <v>94022.399999999994</v>
      </c>
      <c r="N38" s="5">
        <f t="shared" si="2"/>
        <v>3917.6</v>
      </c>
      <c r="O38" s="17" t="s">
        <v>147</v>
      </c>
      <c r="P38" s="16" t="s">
        <v>148</v>
      </c>
      <c r="Q38" s="5" t="s">
        <v>2553</v>
      </c>
      <c r="R38" s="38"/>
    </row>
    <row r="39" spans="1:18" ht="43.2">
      <c r="A39" s="5">
        <v>38</v>
      </c>
      <c r="B39" s="5" t="s">
        <v>149</v>
      </c>
      <c r="C39" s="6" t="s">
        <v>150</v>
      </c>
      <c r="D39" s="27" t="s">
        <v>151</v>
      </c>
      <c r="E39" s="5">
        <v>2</v>
      </c>
      <c r="F39" s="5">
        <v>38</v>
      </c>
      <c r="G39" s="5" t="s">
        <v>2552</v>
      </c>
      <c r="H39" s="5">
        <v>4720</v>
      </c>
      <c r="I39" s="5">
        <v>0.83</v>
      </c>
      <c r="J39" s="82">
        <v>45127</v>
      </c>
      <c r="K39" s="82">
        <v>45867</v>
      </c>
      <c r="L39" s="81">
        <f t="shared" si="0"/>
        <v>24</v>
      </c>
      <c r="M39" s="5">
        <f t="shared" si="1"/>
        <v>94022.399999999994</v>
      </c>
      <c r="N39" s="5">
        <f t="shared" si="2"/>
        <v>3917.6</v>
      </c>
      <c r="O39" s="6" t="s">
        <v>152</v>
      </c>
      <c r="P39" s="5"/>
      <c r="Q39" s="5" t="s">
        <v>2553</v>
      </c>
      <c r="R39" s="38"/>
    </row>
    <row r="40" spans="1:18" ht="28.8">
      <c r="A40" s="5">
        <v>39</v>
      </c>
      <c r="B40" s="5" t="s">
        <v>153</v>
      </c>
      <c r="C40" s="6" t="s">
        <v>154</v>
      </c>
      <c r="D40" s="7" t="s">
        <v>155</v>
      </c>
      <c r="E40" s="5">
        <v>2</v>
      </c>
      <c r="F40" s="5">
        <v>39</v>
      </c>
      <c r="G40" s="5" t="s">
        <v>2552</v>
      </c>
      <c r="H40" s="5">
        <v>4720</v>
      </c>
      <c r="I40" s="5">
        <v>0.83</v>
      </c>
      <c r="J40" s="82">
        <v>45127</v>
      </c>
      <c r="K40" s="82">
        <v>45867</v>
      </c>
      <c r="L40" s="81">
        <f t="shared" si="0"/>
        <v>24</v>
      </c>
      <c r="M40" s="5">
        <f t="shared" si="1"/>
        <v>94022.399999999994</v>
      </c>
      <c r="N40" s="5">
        <f t="shared" si="2"/>
        <v>3917.6</v>
      </c>
      <c r="O40" s="6" t="s">
        <v>156</v>
      </c>
      <c r="P40" s="5" t="s">
        <v>157</v>
      </c>
      <c r="Q40" s="5" t="s">
        <v>2553</v>
      </c>
      <c r="R40" s="38"/>
    </row>
    <row r="41" spans="1:18" ht="28.8">
      <c r="A41" s="5">
        <v>40</v>
      </c>
      <c r="B41" s="5" t="s">
        <v>158</v>
      </c>
      <c r="C41" s="6" t="s">
        <v>159</v>
      </c>
      <c r="D41" s="7">
        <v>3540478295897</v>
      </c>
      <c r="E41" s="5">
        <v>2</v>
      </c>
      <c r="F41" s="5">
        <v>40</v>
      </c>
      <c r="G41" s="5" t="s">
        <v>2552</v>
      </c>
      <c r="H41" s="5">
        <v>4720</v>
      </c>
      <c r="I41" s="5">
        <v>0.83</v>
      </c>
      <c r="J41" s="82">
        <v>45127</v>
      </c>
      <c r="K41" s="82">
        <v>45867</v>
      </c>
      <c r="L41" s="81">
        <f t="shared" si="0"/>
        <v>24</v>
      </c>
      <c r="M41" s="5">
        <f t="shared" si="1"/>
        <v>94022.399999999994</v>
      </c>
      <c r="N41" s="5">
        <f t="shared" si="2"/>
        <v>3917.6</v>
      </c>
      <c r="O41" s="6" t="s">
        <v>160</v>
      </c>
      <c r="P41" s="5" t="s">
        <v>161</v>
      </c>
      <c r="Q41" s="5" t="s">
        <v>2553</v>
      </c>
      <c r="R41" s="38"/>
    </row>
    <row r="42" spans="1:18" ht="28.8">
      <c r="A42" s="5">
        <v>41</v>
      </c>
      <c r="B42" s="5" t="s">
        <v>162</v>
      </c>
      <c r="C42" s="6" t="s">
        <v>163</v>
      </c>
      <c r="D42" s="7" t="s">
        <v>164</v>
      </c>
      <c r="E42" s="5">
        <v>2</v>
      </c>
      <c r="F42" s="5">
        <v>41</v>
      </c>
      <c r="G42" s="5" t="s">
        <v>2552</v>
      </c>
      <c r="H42" s="5">
        <v>4720</v>
      </c>
      <c r="I42" s="5">
        <v>0.83</v>
      </c>
      <c r="J42" s="82">
        <v>45127</v>
      </c>
      <c r="K42" s="82">
        <v>45867</v>
      </c>
      <c r="L42" s="81">
        <f t="shared" si="0"/>
        <v>24</v>
      </c>
      <c r="M42" s="5">
        <f t="shared" ref="M42:M43" si="3">N42*L42</f>
        <v>120000</v>
      </c>
      <c r="N42" s="5">
        <v>5000</v>
      </c>
      <c r="O42" s="6" t="s">
        <v>165</v>
      </c>
      <c r="P42" s="5" t="s">
        <v>166</v>
      </c>
      <c r="Q42" s="5" t="s">
        <v>2556</v>
      </c>
      <c r="R42" s="38"/>
    </row>
    <row r="43" spans="1:18" ht="28.8">
      <c r="A43" s="5">
        <v>42</v>
      </c>
      <c r="B43" s="5" t="s">
        <v>167</v>
      </c>
      <c r="C43" s="6" t="s">
        <v>168</v>
      </c>
      <c r="D43" s="7">
        <v>6110148498957</v>
      </c>
      <c r="E43" s="5">
        <v>2</v>
      </c>
      <c r="F43" s="5">
        <v>42</v>
      </c>
      <c r="G43" s="5" t="s">
        <v>2552</v>
      </c>
      <c r="H43" s="5">
        <v>4720</v>
      </c>
      <c r="I43" s="5">
        <v>0.83</v>
      </c>
      <c r="J43" s="82">
        <v>45127</v>
      </c>
      <c r="K43" s="82">
        <v>45867</v>
      </c>
      <c r="L43" s="81">
        <f t="shared" si="0"/>
        <v>24</v>
      </c>
      <c r="M43" s="5">
        <f t="shared" si="3"/>
        <v>120000</v>
      </c>
      <c r="N43" s="5">
        <v>5000</v>
      </c>
      <c r="O43" s="6" t="s">
        <v>169</v>
      </c>
      <c r="P43" s="5" t="s">
        <v>170</v>
      </c>
      <c r="Q43" s="5" t="s">
        <v>2556</v>
      </c>
      <c r="R43" s="38"/>
    </row>
    <row r="44" spans="1:18" ht="28.8">
      <c r="A44" s="5">
        <v>43</v>
      </c>
      <c r="B44" s="5">
        <v>71174</v>
      </c>
      <c r="C44" s="6" t="s">
        <v>171</v>
      </c>
      <c r="D44" s="7" t="s">
        <v>172</v>
      </c>
      <c r="E44" s="5">
        <v>2</v>
      </c>
      <c r="F44" s="5">
        <v>43</v>
      </c>
      <c r="G44" s="5" t="s">
        <v>2552</v>
      </c>
      <c r="H44" s="5">
        <v>4720</v>
      </c>
      <c r="I44" s="5">
        <v>0.83</v>
      </c>
      <c r="J44" s="82">
        <v>45127</v>
      </c>
      <c r="K44" s="82">
        <v>45867</v>
      </c>
      <c r="L44" s="81">
        <f t="shared" si="0"/>
        <v>24</v>
      </c>
      <c r="M44" s="5">
        <f t="shared" si="1"/>
        <v>94022.399999999994</v>
      </c>
      <c r="N44" s="5">
        <f t="shared" si="2"/>
        <v>3917.6</v>
      </c>
      <c r="O44" s="6" t="s">
        <v>173</v>
      </c>
      <c r="P44" s="5" t="s">
        <v>174</v>
      </c>
      <c r="Q44" s="5" t="s">
        <v>2553</v>
      </c>
      <c r="R44" s="38"/>
    </row>
    <row r="45" spans="1:18" ht="28.8">
      <c r="A45" s="5">
        <v>44</v>
      </c>
      <c r="B45" s="5">
        <v>71124</v>
      </c>
      <c r="C45" s="6" t="s">
        <v>175</v>
      </c>
      <c r="D45" s="7">
        <v>6110180681177</v>
      </c>
      <c r="E45" s="5">
        <v>2</v>
      </c>
      <c r="F45" s="5">
        <v>44</v>
      </c>
      <c r="G45" s="5" t="s">
        <v>2552</v>
      </c>
      <c r="H45" s="5">
        <v>4720</v>
      </c>
      <c r="I45" s="5">
        <v>0.83</v>
      </c>
      <c r="J45" s="82">
        <v>45127</v>
      </c>
      <c r="K45" s="82">
        <v>45867</v>
      </c>
      <c r="L45" s="81">
        <f t="shared" si="0"/>
        <v>24</v>
      </c>
      <c r="M45" s="5">
        <f t="shared" si="1"/>
        <v>94022.399999999994</v>
      </c>
      <c r="N45" s="5">
        <f t="shared" si="2"/>
        <v>3917.6</v>
      </c>
      <c r="O45" s="6" t="s">
        <v>176</v>
      </c>
      <c r="P45" s="5" t="s">
        <v>177</v>
      </c>
      <c r="Q45" s="5" t="s">
        <v>2553</v>
      </c>
      <c r="R45" s="38"/>
    </row>
    <row r="46" spans="1:18" ht="57.6">
      <c r="A46" s="5">
        <v>45</v>
      </c>
      <c r="B46" s="5">
        <v>71215</v>
      </c>
      <c r="C46" s="6" t="s">
        <v>178</v>
      </c>
      <c r="D46" s="7" t="s">
        <v>179</v>
      </c>
      <c r="E46" s="5">
        <v>2</v>
      </c>
      <c r="F46" s="5">
        <v>45</v>
      </c>
      <c r="G46" s="5" t="s">
        <v>2552</v>
      </c>
      <c r="H46" s="5">
        <v>4720</v>
      </c>
      <c r="I46" s="5">
        <v>0.83</v>
      </c>
      <c r="J46" s="82">
        <v>45127</v>
      </c>
      <c r="K46" s="82">
        <v>45867</v>
      </c>
      <c r="L46" s="81">
        <f t="shared" si="0"/>
        <v>24</v>
      </c>
      <c r="M46" s="5">
        <f t="shared" si="1"/>
        <v>94022.399999999994</v>
      </c>
      <c r="N46" s="5">
        <f t="shared" si="2"/>
        <v>3917.6</v>
      </c>
      <c r="O46" s="6" t="s">
        <v>180</v>
      </c>
      <c r="P46" s="5" t="s">
        <v>181</v>
      </c>
      <c r="Q46" s="5" t="s">
        <v>2553</v>
      </c>
      <c r="R46" s="38"/>
    </row>
    <row r="47" spans="1:18" ht="43.2">
      <c r="A47" s="5">
        <v>46</v>
      </c>
      <c r="B47" s="5" t="s">
        <v>182</v>
      </c>
      <c r="C47" s="6" t="s">
        <v>178</v>
      </c>
      <c r="D47" s="7" t="s">
        <v>179</v>
      </c>
      <c r="E47" s="5">
        <v>2</v>
      </c>
      <c r="F47" s="5">
        <v>46</v>
      </c>
      <c r="G47" s="5" t="s">
        <v>2552</v>
      </c>
      <c r="H47" s="5">
        <v>4720</v>
      </c>
      <c r="I47" s="5">
        <v>0.83</v>
      </c>
      <c r="J47" s="82">
        <v>45127</v>
      </c>
      <c r="K47" s="82">
        <v>45867</v>
      </c>
      <c r="L47" s="81">
        <f t="shared" si="0"/>
        <v>24</v>
      </c>
      <c r="M47" s="5">
        <f t="shared" si="1"/>
        <v>94022.399999999994</v>
      </c>
      <c r="N47" s="5">
        <f t="shared" si="2"/>
        <v>3917.6</v>
      </c>
      <c r="O47" s="6" t="s">
        <v>183</v>
      </c>
      <c r="P47" s="5" t="s">
        <v>181</v>
      </c>
      <c r="Q47" s="5" t="s">
        <v>2553</v>
      </c>
      <c r="R47" s="38"/>
    </row>
    <row r="48" spans="1:18" ht="28.8">
      <c r="A48" s="5">
        <v>47</v>
      </c>
      <c r="B48" s="5">
        <v>71035</v>
      </c>
      <c r="C48" s="6" t="s">
        <v>184</v>
      </c>
      <c r="D48" s="7">
        <v>6110126792127</v>
      </c>
      <c r="E48" s="5">
        <v>2</v>
      </c>
      <c r="F48" s="5">
        <v>47</v>
      </c>
      <c r="G48" s="5" t="s">
        <v>2552</v>
      </c>
      <c r="H48" s="5">
        <v>4720</v>
      </c>
      <c r="I48" s="5">
        <v>0.83</v>
      </c>
      <c r="J48" s="82">
        <v>45127</v>
      </c>
      <c r="K48" s="82">
        <v>45867</v>
      </c>
      <c r="L48" s="81">
        <f t="shared" si="0"/>
        <v>24</v>
      </c>
      <c r="M48" s="5">
        <f t="shared" si="1"/>
        <v>94022.399999999994</v>
      </c>
      <c r="N48" s="5">
        <f t="shared" si="2"/>
        <v>3917.6</v>
      </c>
      <c r="O48" s="6" t="s">
        <v>185</v>
      </c>
      <c r="P48" s="5" t="s">
        <v>186</v>
      </c>
      <c r="Q48" s="5" t="s">
        <v>2553</v>
      </c>
      <c r="R48" s="38"/>
    </row>
    <row r="49" spans="1:18" ht="28.8">
      <c r="A49" s="5">
        <v>48</v>
      </c>
      <c r="B49" s="5" t="s">
        <v>187</v>
      </c>
      <c r="C49" s="6" t="s">
        <v>188</v>
      </c>
      <c r="D49" s="7" t="s">
        <v>189</v>
      </c>
      <c r="E49" s="5">
        <v>2</v>
      </c>
      <c r="F49" s="5">
        <v>48</v>
      </c>
      <c r="G49" s="5" t="s">
        <v>2552</v>
      </c>
      <c r="H49" s="5">
        <v>4720</v>
      </c>
      <c r="I49" s="5">
        <v>0.83</v>
      </c>
      <c r="J49" s="82">
        <v>45127</v>
      </c>
      <c r="K49" s="82">
        <v>45867</v>
      </c>
      <c r="L49" s="81">
        <f t="shared" si="0"/>
        <v>24</v>
      </c>
      <c r="M49" s="5">
        <f>N49*L49</f>
        <v>120000</v>
      </c>
      <c r="N49" s="5">
        <v>5000</v>
      </c>
      <c r="O49" s="6" t="s">
        <v>190</v>
      </c>
      <c r="P49" s="5" t="s">
        <v>191</v>
      </c>
      <c r="Q49" s="5" t="s">
        <v>2556</v>
      </c>
      <c r="R49" s="38"/>
    </row>
    <row r="50" spans="1:18" ht="28.8">
      <c r="A50" s="5">
        <v>49</v>
      </c>
      <c r="B50" s="5">
        <v>71262</v>
      </c>
      <c r="C50" s="6" t="s">
        <v>192</v>
      </c>
      <c r="D50" s="7" t="s">
        <v>193</v>
      </c>
      <c r="E50" s="5">
        <v>2</v>
      </c>
      <c r="F50" s="5">
        <v>49</v>
      </c>
      <c r="G50" s="5" t="s">
        <v>2552</v>
      </c>
      <c r="H50" s="5">
        <v>4720</v>
      </c>
      <c r="I50" s="5">
        <v>0.83</v>
      </c>
      <c r="J50" s="82">
        <v>45127</v>
      </c>
      <c r="K50" s="82">
        <v>45867</v>
      </c>
      <c r="L50" s="81">
        <f t="shared" si="0"/>
        <v>24</v>
      </c>
      <c r="M50" s="5">
        <f t="shared" si="1"/>
        <v>94022.399999999994</v>
      </c>
      <c r="N50" s="5">
        <f t="shared" si="2"/>
        <v>3917.6</v>
      </c>
      <c r="O50" s="6" t="s">
        <v>194</v>
      </c>
      <c r="P50" s="5"/>
      <c r="Q50" s="5" t="s">
        <v>2553</v>
      </c>
      <c r="R50" s="38"/>
    </row>
    <row r="51" spans="1:18">
      <c r="A51" s="5">
        <v>50</v>
      </c>
      <c r="B51" s="5" t="s">
        <v>195</v>
      </c>
      <c r="C51" s="6" t="s">
        <v>196</v>
      </c>
      <c r="D51" s="7">
        <v>6110150783337</v>
      </c>
      <c r="E51" s="5">
        <v>2</v>
      </c>
      <c r="F51" s="5">
        <v>50</v>
      </c>
      <c r="G51" s="5" t="s">
        <v>2552</v>
      </c>
      <c r="H51" s="5">
        <v>4720</v>
      </c>
      <c r="I51" s="5">
        <v>0.83</v>
      </c>
      <c r="J51" s="82">
        <v>45127</v>
      </c>
      <c r="K51" s="82">
        <v>45867</v>
      </c>
      <c r="L51" s="81">
        <f t="shared" si="0"/>
        <v>24</v>
      </c>
      <c r="M51" s="5">
        <f>N51*L51</f>
        <v>120000</v>
      </c>
      <c r="N51" s="5">
        <v>5000</v>
      </c>
      <c r="O51" s="6" t="s">
        <v>197</v>
      </c>
      <c r="P51" s="5">
        <v>3005105169</v>
      </c>
      <c r="Q51" s="5" t="s">
        <v>2556</v>
      </c>
      <c r="R51" s="38"/>
    </row>
    <row r="52" spans="1:18" ht="28.8">
      <c r="A52" s="5">
        <v>51</v>
      </c>
      <c r="B52" s="5">
        <v>71106</v>
      </c>
      <c r="C52" s="6" t="s">
        <v>198</v>
      </c>
      <c r="D52" s="7">
        <v>1730189576529</v>
      </c>
      <c r="E52" s="5">
        <v>2</v>
      </c>
      <c r="F52" s="5">
        <v>51</v>
      </c>
      <c r="G52" s="5" t="s">
        <v>2552</v>
      </c>
      <c r="H52" s="5">
        <v>4720</v>
      </c>
      <c r="I52" s="5">
        <v>0.83</v>
      </c>
      <c r="J52" s="82">
        <v>45127</v>
      </c>
      <c r="K52" s="82">
        <v>45867</v>
      </c>
      <c r="L52" s="81">
        <f t="shared" si="0"/>
        <v>24</v>
      </c>
      <c r="M52" s="5">
        <f t="shared" si="1"/>
        <v>94022.399999999994</v>
      </c>
      <c r="N52" s="5">
        <f t="shared" si="2"/>
        <v>3917.6</v>
      </c>
      <c r="O52" s="6" t="s">
        <v>199</v>
      </c>
      <c r="P52" s="5">
        <v>3008432110</v>
      </c>
      <c r="Q52" s="5" t="s">
        <v>2553</v>
      </c>
      <c r="R52" s="38"/>
    </row>
    <row r="53" spans="1:18" ht="28.8">
      <c r="A53" s="5">
        <v>52</v>
      </c>
      <c r="B53" s="9">
        <v>71289</v>
      </c>
      <c r="C53" s="10" t="s">
        <v>200</v>
      </c>
      <c r="D53" s="11" t="s">
        <v>201</v>
      </c>
      <c r="E53" s="5">
        <v>2</v>
      </c>
      <c r="F53" s="5">
        <v>52</v>
      </c>
      <c r="G53" s="5" t="s">
        <v>2552</v>
      </c>
      <c r="H53" s="5">
        <v>4720</v>
      </c>
      <c r="I53" s="5">
        <v>0.83</v>
      </c>
      <c r="J53" s="82">
        <v>45127</v>
      </c>
      <c r="K53" s="82">
        <v>45867</v>
      </c>
      <c r="L53" s="81">
        <f t="shared" si="0"/>
        <v>24</v>
      </c>
      <c r="M53" s="5">
        <f t="shared" si="1"/>
        <v>94022.399999999994</v>
      </c>
      <c r="N53" s="5">
        <f t="shared" si="2"/>
        <v>3917.6</v>
      </c>
      <c r="O53" s="12" t="s">
        <v>202</v>
      </c>
      <c r="P53" s="13" t="s">
        <v>203</v>
      </c>
      <c r="Q53" s="5" t="s">
        <v>2553</v>
      </c>
      <c r="R53" s="38"/>
    </row>
    <row r="54" spans="1:18" ht="28.8">
      <c r="A54" s="5">
        <v>53</v>
      </c>
      <c r="B54" s="5" t="s">
        <v>204</v>
      </c>
      <c r="C54" s="6" t="s">
        <v>205</v>
      </c>
      <c r="D54" s="7">
        <v>6110148694611</v>
      </c>
      <c r="E54" s="5">
        <v>2</v>
      </c>
      <c r="F54" s="5">
        <v>53</v>
      </c>
      <c r="G54" s="5" t="s">
        <v>2552</v>
      </c>
      <c r="H54" s="5">
        <v>4720</v>
      </c>
      <c r="I54" s="5">
        <v>0.83</v>
      </c>
      <c r="J54" s="82">
        <v>45127</v>
      </c>
      <c r="K54" s="82">
        <v>45867</v>
      </c>
      <c r="L54" s="81">
        <f t="shared" si="0"/>
        <v>24</v>
      </c>
      <c r="M54" s="5">
        <f t="shared" si="1"/>
        <v>94022.399999999994</v>
      </c>
      <c r="N54" s="5">
        <f t="shared" si="2"/>
        <v>3917.6</v>
      </c>
      <c r="O54" s="6" t="s">
        <v>206</v>
      </c>
      <c r="P54" s="5" t="s">
        <v>207</v>
      </c>
      <c r="Q54" s="5" t="s">
        <v>2553</v>
      </c>
      <c r="R54" s="38"/>
    </row>
    <row r="55" spans="1:18" ht="28.8">
      <c r="A55" s="5">
        <v>54</v>
      </c>
      <c r="B55" s="5" t="s">
        <v>208</v>
      </c>
      <c r="C55" s="6" t="s">
        <v>209</v>
      </c>
      <c r="D55" s="7">
        <v>6110188214495</v>
      </c>
      <c r="E55" s="5">
        <v>3</v>
      </c>
      <c r="F55" s="5">
        <v>54</v>
      </c>
      <c r="G55" s="5" t="s">
        <v>2552</v>
      </c>
      <c r="H55" s="5">
        <v>4720</v>
      </c>
      <c r="I55" s="5">
        <v>0.83</v>
      </c>
      <c r="J55" s="82">
        <v>45127</v>
      </c>
      <c r="K55" s="82">
        <v>45867</v>
      </c>
      <c r="L55" s="81">
        <f t="shared" si="0"/>
        <v>24</v>
      </c>
      <c r="M55" s="5">
        <f t="shared" si="1"/>
        <v>94022.399999999994</v>
      </c>
      <c r="N55" s="5">
        <f t="shared" si="2"/>
        <v>3917.6</v>
      </c>
      <c r="O55" s="6" t="s">
        <v>210</v>
      </c>
      <c r="P55" s="5">
        <v>3335282693</v>
      </c>
      <c r="Q55" s="5" t="s">
        <v>2553</v>
      </c>
      <c r="R55" s="38"/>
    </row>
    <row r="56" spans="1:18" ht="43.2">
      <c r="A56" s="5">
        <v>55</v>
      </c>
      <c r="B56" s="5" t="s">
        <v>211</v>
      </c>
      <c r="C56" s="6" t="s">
        <v>212</v>
      </c>
      <c r="D56" s="7">
        <v>6110119651731</v>
      </c>
      <c r="E56" s="5">
        <v>3</v>
      </c>
      <c r="F56" s="5">
        <v>55</v>
      </c>
      <c r="G56" s="5" t="s">
        <v>2552</v>
      </c>
      <c r="H56" s="5">
        <v>4720</v>
      </c>
      <c r="I56" s="5">
        <v>0.83</v>
      </c>
      <c r="J56" s="82">
        <v>45127</v>
      </c>
      <c r="K56" s="82">
        <v>45867</v>
      </c>
      <c r="L56" s="81">
        <f t="shared" si="0"/>
        <v>24</v>
      </c>
      <c r="M56" s="5">
        <f>N56*L56</f>
        <v>120000</v>
      </c>
      <c r="N56" s="5">
        <v>5000</v>
      </c>
      <c r="O56" s="6" t="s">
        <v>213</v>
      </c>
      <c r="P56" s="5" t="s">
        <v>214</v>
      </c>
      <c r="Q56" s="5" t="s">
        <v>2556</v>
      </c>
      <c r="R56" s="38"/>
    </row>
    <row r="57" spans="1:18" ht="28.8">
      <c r="A57" s="5">
        <v>56</v>
      </c>
      <c r="B57" s="5" t="s">
        <v>215</v>
      </c>
      <c r="C57" s="6" t="s">
        <v>216</v>
      </c>
      <c r="D57" s="7">
        <v>6110191128301</v>
      </c>
      <c r="E57" s="5">
        <v>3</v>
      </c>
      <c r="F57" s="5">
        <v>56</v>
      </c>
      <c r="G57" s="5" t="s">
        <v>2552</v>
      </c>
      <c r="H57" s="5">
        <v>4720</v>
      </c>
      <c r="I57" s="5">
        <v>0.83</v>
      </c>
      <c r="J57" s="82">
        <v>45127</v>
      </c>
      <c r="K57" s="82">
        <v>45867</v>
      </c>
      <c r="L57" s="81">
        <f t="shared" si="0"/>
        <v>24</v>
      </c>
      <c r="M57" s="5">
        <f t="shared" si="1"/>
        <v>94022.399999999994</v>
      </c>
      <c r="N57" s="5">
        <f t="shared" si="2"/>
        <v>3917.6</v>
      </c>
      <c r="O57" s="6" t="s">
        <v>217</v>
      </c>
      <c r="P57" s="5">
        <v>3005013907</v>
      </c>
      <c r="Q57" s="5" t="s">
        <v>2553</v>
      </c>
      <c r="R57" s="38"/>
    </row>
    <row r="58" spans="1:18" ht="28.8">
      <c r="A58" s="5">
        <v>57</v>
      </c>
      <c r="B58" s="5" t="s">
        <v>218</v>
      </c>
      <c r="C58" s="6" t="s">
        <v>219</v>
      </c>
      <c r="D58" s="7">
        <v>3210266187679</v>
      </c>
      <c r="E58" s="5">
        <v>3</v>
      </c>
      <c r="F58" s="5">
        <v>57</v>
      </c>
      <c r="G58" s="5" t="s">
        <v>2552</v>
      </c>
      <c r="H58" s="5">
        <v>4720</v>
      </c>
      <c r="I58" s="5">
        <v>0.83</v>
      </c>
      <c r="J58" s="82">
        <v>45127</v>
      </c>
      <c r="K58" s="82">
        <v>45867</v>
      </c>
      <c r="L58" s="81">
        <f t="shared" si="0"/>
        <v>24</v>
      </c>
      <c r="M58" s="5">
        <f t="shared" si="1"/>
        <v>94022.399999999994</v>
      </c>
      <c r="N58" s="5">
        <f t="shared" si="2"/>
        <v>3917.6</v>
      </c>
      <c r="O58" s="6" t="s">
        <v>220</v>
      </c>
      <c r="P58" s="5">
        <v>3345554834</v>
      </c>
      <c r="Q58" s="5" t="s">
        <v>2553</v>
      </c>
      <c r="R58" s="38"/>
    </row>
    <row r="59" spans="1:18" ht="28.8">
      <c r="A59" s="5">
        <v>58</v>
      </c>
      <c r="B59" s="5">
        <v>71273</v>
      </c>
      <c r="C59" s="6" t="s">
        <v>221</v>
      </c>
      <c r="D59" s="7" t="s">
        <v>222</v>
      </c>
      <c r="E59" s="5">
        <v>3</v>
      </c>
      <c r="F59" s="5">
        <v>58</v>
      </c>
      <c r="G59" s="5" t="s">
        <v>2552</v>
      </c>
      <c r="H59" s="5">
        <v>4720</v>
      </c>
      <c r="I59" s="5">
        <v>0.83</v>
      </c>
      <c r="J59" s="82">
        <v>45127</v>
      </c>
      <c r="K59" s="82">
        <v>45867</v>
      </c>
      <c r="L59" s="81">
        <f t="shared" si="0"/>
        <v>24</v>
      </c>
      <c r="M59" s="5">
        <f t="shared" si="1"/>
        <v>94022.399999999994</v>
      </c>
      <c r="N59" s="5">
        <f t="shared" si="2"/>
        <v>3917.6</v>
      </c>
      <c r="O59" s="6" t="s">
        <v>223</v>
      </c>
      <c r="P59" s="5" t="s">
        <v>224</v>
      </c>
      <c r="Q59" s="5" t="s">
        <v>2553</v>
      </c>
      <c r="R59" s="38"/>
    </row>
    <row r="60" spans="1:18" ht="28.8">
      <c r="A60" s="5">
        <v>59</v>
      </c>
      <c r="B60" s="5" t="s">
        <v>225</v>
      </c>
      <c r="C60" s="6" t="s">
        <v>226</v>
      </c>
      <c r="D60" s="7" t="s">
        <v>227</v>
      </c>
      <c r="E60" s="5">
        <v>3</v>
      </c>
      <c r="F60" s="5">
        <v>59</v>
      </c>
      <c r="G60" s="5" t="s">
        <v>2552</v>
      </c>
      <c r="H60" s="5">
        <v>4720</v>
      </c>
      <c r="I60" s="5">
        <v>0.83</v>
      </c>
      <c r="J60" s="82">
        <v>45127</v>
      </c>
      <c r="K60" s="82">
        <v>45867</v>
      </c>
      <c r="L60" s="81">
        <f t="shared" si="0"/>
        <v>24</v>
      </c>
      <c r="M60" s="5">
        <f t="shared" si="1"/>
        <v>94022.399999999994</v>
      </c>
      <c r="N60" s="5">
        <f t="shared" si="2"/>
        <v>3917.6</v>
      </c>
      <c r="O60" s="6" t="s">
        <v>228</v>
      </c>
      <c r="P60" s="5" t="s">
        <v>229</v>
      </c>
      <c r="Q60" s="5" t="s">
        <v>2553</v>
      </c>
      <c r="R60" s="38"/>
    </row>
    <row r="61" spans="1:18" ht="43.2">
      <c r="A61" s="5">
        <v>60</v>
      </c>
      <c r="B61" s="5" t="s">
        <v>230</v>
      </c>
      <c r="C61" s="6" t="s">
        <v>231</v>
      </c>
      <c r="D61" s="7" t="s">
        <v>232</v>
      </c>
      <c r="E61" s="5">
        <v>3</v>
      </c>
      <c r="F61" s="5">
        <v>60</v>
      </c>
      <c r="G61" s="5" t="s">
        <v>2552</v>
      </c>
      <c r="H61" s="5">
        <v>4720</v>
      </c>
      <c r="I61" s="5">
        <v>0.83</v>
      </c>
      <c r="J61" s="82">
        <v>45127</v>
      </c>
      <c r="K61" s="82">
        <v>45867</v>
      </c>
      <c r="L61" s="81">
        <f t="shared" si="0"/>
        <v>24</v>
      </c>
      <c r="M61" s="5">
        <f t="shared" si="1"/>
        <v>94022.399999999994</v>
      </c>
      <c r="N61" s="5">
        <f t="shared" si="2"/>
        <v>3917.6</v>
      </c>
      <c r="O61" s="6" t="s">
        <v>233</v>
      </c>
      <c r="P61" s="5" t="s">
        <v>234</v>
      </c>
      <c r="Q61" s="5" t="s">
        <v>2553</v>
      </c>
      <c r="R61" s="38"/>
    </row>
    <row r="62" spans="1:18" ht="28.8">
      <c r="A62" s="5">
        <v>61</v>
      </c>
      <c r="B62" s="5" t="s">
        <v>2427</v>
      </c>
      <c r="C62" s="6" t="s">
        <v>2426</v>
      </c>
      <c r="D62" s="7" t="s">
        <v>2428</v>
      </c>
      <c r="E62" s="5">
        <v>3</v>
      </c>
      <c r="F62" s="5">
        <v>61</v>
      </c>
      <c r="G62" s="5" t="s">
        <v>2552</v>
      </c>
      <c r="H62" s="5">
        <v>4720</v>
      </c>
      <c r="I62" s="5">
        <v>0.83</v>
      </c>
      <c r="J62" s="82">
        <v>45127</v>
      </c>
      <c r="K62" s="82">
        <v>45867</v>
      </c>
      <c r="L62" s="81">
        <f t="shared" si="0"/>
        <v>24</v>
      </c>
      <c r="M62" s="5">
        <f t="shared" si="1"/>
        <v>94022.399999999994</v>
      </c>
      <c r="N62" s="5">
        <f t="shared" si="2"/>
        <v>3917.6</v>
      </c>
      <c r="O62" s="6" t="s">
        <v>2429</v>
      </c>
      <c r="P62" s="5" t="s">
        <v>2430</v>
      </c>
      <c r="Q62" s="5" t="s">
        <v>2553</v>
      </c>
      <c r="R62" s="38"/>
    </row>
    <row r="63" spans="1:18" ht="28.8">
      <c r="A63" s="5">
        <v>62</v>
      </c>
      <c r="B63" s="5" t="s">
        <v>235</v>
      </c>
      <c r="C63" s="6" t="s">
        <v>236</v>
      </c>
      <c r="D63" s="7">
        <v>6110117834169</v>
      </c>
      <c r="E63" s="5">
        <v>3</v>
      </c>
      <c r="F63" s="5">
        <v>62</v>
      </c>
      <c r="G63" s="5" t="s">
        <v>2552</v>
      </c>
      <c r="H63" s="5">
        <v>4720</v>
      </c>
      <c r="I63" s="5">
        <v>0.83</v>
      </c>
      <c r="J63" s="82">
        <v>45127</v>
      </c>
      <c r="K63" s="82">
        <v>45867</v>
      </c>
      <c r="L63" s="81">
        <f t="shared" si="0"/>
        <v>24</v>
      </c>
      <c r="M63" s="5">
        <f t="shared" si="1"/>
        <v>94022.399999999994</v>
      </c>
      <c r="N63" s="5">
        <f t="shared" si="2"/>
        <v>3917.6</v>
      </c>
      <c r="O63" s="10" t="s">
        <v>237</v>
      </c>
      <c r="P63" s="5" t="s">
        <v>238</v>
      </c>
      <c r="Q63" s="5" t="s">
        <v>2553</v>
      </c>
      <c r="R63" s="38"/>
    </row>
    <row r="64" spans="1:18" ht="28.8">
      <c r="A64" s="5">
        <v>63</v>
      </c>
      <c r="B64" s="5" t="s">
        <v>239</v>
      </c>
      <c r="C64" s="6" t="s">
        <v>240</v>
      </c>
      <c r="D64" s="7">
        <v>6110183699733</v>
      </c>
      <c r="E64" s="5">
        <v>3</v>
      </c>
      <c r="F64" s="5">
        <v>63</v>
      </c>
      <c r="G64" s="5" t="s">
        <v>2552</v>
      </c>
      <c r="H64" s="5">
        <v>4720</v>
      </c>
      <c r="I64" s="5">
        <v>0.83</v>
      </c>
      <c r="J64" s="82">
        <v>45127</v>
      </c>
      <c r="K64" s="82">
        <v>45867</v>
      </c>
      <c r="L64" s="81">
        <f t="shared" si="0"/>
        <v>24</v>
      </c>
      <c r="M64" s="5">
        <f t="shared" si="1"/>
        <v>94022.399999999994</v>
      </c>
      <c r="N64" s="5">
        <f t="shared" si="2"/>
        <v>3917.6</v>
      </c>
      <c r="O64" s="6" t="s">
        <v>241</v>
      </c>
      <c r="P64" s="5" t="s">
        <v>242</v>
      </c>
      <c r="Q64" s="5" t="s">
        <v>2553</v>
      </c>
      <c r="R64" s="38"/>
    </row>
    <row r="65" spans="1:18" ht="28.8">
      <c r="A65" s="5">
        <v>64</v>
      </c>
      <c r="B65" s="5" t="s">
        <v>2379</v>
      </c>
      <c r="C65" s="6" t="s">
        <v>2378</v>
      </c>
      <c r="D65" s="7" t="s">
        <v>2380</v>
      </c>
      <c r="E65" s="5">
        <v>8</v>
      </c>
      <c r="F65" s="5">
        <v>64</v>
      </c>
      <c r="G65" s="5" t="s">
        <v>2552</v>
      </c>
      <c r="H65" s="5">
        <v>4720</v>
      </c>
      <c r="I65" s="5">
        <v>0.83</v>
      </c>
      <c r="J65" s="82">
        <v>45127</v>
      </c>
      <c r="K65" s="82">
        <v>45867</v>
      </c>
      <c r="L65" s="81">
        <f t="shared" si="0"/>
        <v>24</v>
      </c>
      <c r="M65" s="5">
        <f t="shared" si="1"/>
        <v>94022.399999999994</v>
      </c>
      <c r="N65" s="5">
        <f t="shared" si="2"/>
        <v>3917.6</v>
      </c>
      <c r="O65" s="6" t="s">
        <v>2381</v>
      </c>
      <c r="P65" s="5" t="s">
        <v>2382</v>
      </c>
      <c r="Q65" s="27" t="s">
        <v>2553</v>
      </c>
      <c r="R65" s="38"/>
    </row>
    <row r="66" spans="1:18" ht="28.8">
      <c r="A66" s="5">
        <v>65</v>
      </c>
      <c r="B66" s="5" t="s">
        <v>243</v>
      </c>
      <c r="C66" s="6" t="s">
        <v>244</v>
      </c>
      <c r="D66" s="7" t="s">
        <v>245</v>
      </c>
      <c r="E66" s="5">
        <v>8</v>
      </c>
      <c r="F66" s="5">
        <v>65</v>
      </c>
      <c r="G66" s="5" t="s">
        <v>2552</v>
      </c>
      <c r="H66" s="5">
        <v>4720</v>
      </c>
      <c r="I66" s="5">
        <v>0.83</v>
      </c>
      <c r="J66" s="82">
        <v>45127</v>
      </c>
      <c r="K66" s="82">
        <v>45867</v>
      </c>
      <c r="L66" s="81">
        <f t="shared" si="0"/>
        <v>24</v>
      </c>
      <c r="M66" s="5">
        <f t="shared" si="1"/>
        <v>94022.399999999994</v>
      </c>
      <c r="N66" s="5">
        <f t="shared" si="2"/>
        <v>3917.6</v>
      </c>
      <c r="O66" s="6" t="s">
        <v>246</v>
      </c>
      <c r="P66" s="5" t="s">
        <v>247</v>
      </c>
      <c r="Q66" s="5" t="s">
        <v>2553</v>
      </c>
      <c r="R66" s="38"/>
    </row>
    <row r="67" spans="1:18" ht="28.8">
      <c r="A67" s="5">
        <v>66</v>
      </c>
      <c r="B67" s="5">
        <v>71184</v>
      </c>
      <c r="C67" s="6" t="s">
        <v>248</v>
      </c>
      <c r="D67" s="7" t="s">
        <v>249</v>
      </c>
      <c r="E67" s="5">
        <v>8</v>
      </c>
      <c r="F67" s="5">
        <v>66</v>
      </c>
      <c r="G67" s="5" t="s">
        <v>2552</v>
      </c>
      <c r="H67" s="5">
        <v>4720</v>
      </c>
      <c r="I67" s="5">
        <v>0.83</v>
      </c>
      <c r="J67" s="82">
        <v>45127</v>
      </c>
      <c r="K67" s="82">
        <v>45867</v>
      </c>
      <c r="L67" s="81">
        <f t="shared" ref="L67:L118" si="4">DATEDIF(J67,K67,"M")</f>
        <v>24</v>
      </c>
      <c r="M67" s="5">
        <f t="shared" ref="M67:M68" si="5">N67*L67</f>
        <v>120000</v>
      </c>
      <c r="N67" s="5">
        <v>5000</v>
      </c>
      <c r="O67" s="6" t="s">
        <v>250</v>
      </c>
      <c r="P67" s="5"/>
      <c r="Q67" s="5" t="s">
        <v>2556</v>
      </c>
      <c r="R67" s="38"/>
    </row>
    <row r="68" spans="1:18" ht="28.8">
      <c r="A68" s="5">
        <v>67</v>
      </c>
      <c r="B68" s="5" t="s">
        <v>251</v>
      </c>
      <c r="C68" s="6" t="s">
        <v>252</v>
      </c>
      <c r="D68" s="7" t="s">
        <v>253</v>
      </c>
      <c r="E68" s="5">
        <v>8</v>
      </c>
      <c r="F68" s="5">
        <v>67</v>
      </c>
      <c r="G68" s="5" t="s">
        <v>2552</v>
      </c>
      <c r="H68" s="5">
        <v>4720</v>
      </c>
      <c r="I68" s="5">
        <v>0.83</v>
      </c>
      <c r="J68" s="82">
        <v>45127</v>
      </c>
      <c r="K68" s="82">
        <v>45867</v>
      </c>
      <c r="L68" s="81">
        <f t="shared" si="4"/>
        <v>24</v>
      </c>
      <c r="M68" s="5">
        <f t="shared" si="5"/>
        <v>120000</v>
      </c>
      <c r="N68" s="5">
        <v>5000</v>
      </c>
      <c r="O68" s="6" t="s">
        <v>254</v>
      </c>
      <c r="P68" s="5" t="s">
        <v>255</v>
      </c>
      <c r="Q68" s="5" t="s">
        <v>2556</v>
      </c>
      <c r="R68" s="38"/>
    </row>
    <row r="69" spans="1:18" ht="28.8">
      <c r="A69" s="5">
        <v>68</v>
      </c>
      <c r="B69" s="5" t="s">
        <v>256</v>
      </c>
      <c r="C69" s="6" t="s">
        <v>257</v>
      </c>
      <c r="D69" s="7">
        <v>3520024897357</v>
      </c>
      <c r="E69" s="5">
        <v>8</v>
      </c>
      <c r="F69" s="5">
        <v>68</v>
      </c>
      <c r="G69" s="5" t="s">
        <v>2552</v>
      </c>
      <c r="H69" s="5">
        <v>4720</v>
      </c>
      <c r="I69" s="5">
        <v>0.83</v>
      </c>
      <c r="J69" s="82">
        <v>45127</v>
      </c>
      <c r="K69" s="82">
        <v>45867</v>
      </c>
      <c r="L69" s="81">
        <f t="shared" si="4"/>
        <v>24</v>
      </c>
      <c r="M69" s="5">
        <f t="shared" ref="M69:M117" si="6">I69*H69*L69</f>
        <v>94022.399999999994</v>
      </c>
      <c r="N69" s="5">
        <f t="shared" ref="N69:N117" si="7">M69/24</f>
        <v>3917.6</v>
      </c>
      <c r="O69" s="6" t="s">
        <v>258</v>
      </c>
      <c r="P69" s="5" t="s">
        <v>259</v>
      </c>
      <c r="Q69" s="27" t="s">
        <v>2553</v>
      </c>
      <c r="R69" s="38"/>
    </row>
    <row r="70" spans="1:18" ht="28.8">
      <c r="A70" s="5">
        <v>69</v>
      </c>
      <c r="B70" s="5">
        <v>71101</v>
      </c>
      <c r="C70" s="6" t="s">
        <v>260</v>
      </c>
      <c r="D70" s="7">
        <v>6110169368637</v>
      </c>
      <c r="E70" s="5">
        <v>8</v>
      </c>
      <c r="F70" s="5">
        <v>69</v>
      </c>
      <c r="G70" s="5" t="s">
        <v>2552</v>
      </c>
      <c r="H70" s="5">
        <v>4720</v>
      </c>
      <c r="I70" s="5">
        <v>0.83</v>
      </c>
      <c r="J70" s="82">
        <v>45127</v>
      </c>
      <c r="K70" s="82">
        <v>45867</v>
      </c>
      <c r="L70" s="81">
        <f t="shared" si="4"/>
        <v>24</v>
      </c>
      <c r="M70" s="5">
        <f t="shared" si="6"/>
        <v>94022.399999999994</v>
      </c>
      <c r="N70" s="5">
        <f t="shared" si="7"/>
        <v>3917.6</v>
      </c>
      <c r="O70" s="6" t="s">
        <v>261</v>
      </c>
      <c r="P70" s="5" t="s">
        <v>262</v>
      </c>
      <c r="Q70" s="5" t="s">
        <v>2553</v>
      </c>
      <c r="R70" s="38"/>
    </row>
    <row r="71" spans="1:18">
      <c r="A71" s="5">
        <v>70</v>
      </c>
      <c r="B71" s="5" t="s">
        <v>263</v>
      </c>
      <c r="C71" s="6" t="s">
        <v>264</v>
      </c>
      <c r="D71" s="7">
        <v>6110136639599</v>
      </c>
      <c r="E71" s="5">
        <v>9</v>
      </c>
      <c r="F71" s="5">
        <v>70</v>
      </c>
      <c r="G71" s="5" t="s">
        <v>2552</v>
      </c>
      <c r="H71" s="5">
        <v>4720</v>
      </c>
      <c r="I71" s="5">
        <v>0.83</v>
      </c>
      <c r="J71" s="82">
        <v>45127</v>
      </c>
      <c r="K71" s="82">
        <v>45867</v>
      </c>
      <c r="L71" s="81">
        <f t="shared" si="4"/>
        <v>24</v>
      </c>
      <c r="M71" s="5">
        <f t="shared" si="6"/>
        <v>94022.399999999994</v>
      </c>
      <c r="N71" s="5">
        <f t="shared" si="7"/>
        <v>3917.6</v>
      </c>
      <c r="O71" s="6" t="s">
        <v>265</v>
      </c>
      <c r="P71" s="5">
        <v>3008558188</v>
      </c>
      <c r="Q71" s="5" t="s">
        <v>2553</v>
      </c>
      <c r="R71" s="38"/>
    </row>
    <row r="72" spans="1:18">
      <c r="A72" s="5">
        <v>71</v>
      </c>
      <c r="B72" s="5" t="s">
        <v>266</v>
      </c>
      <c r="C72" s="6" t="s">
        <v>267</v>
      </c>
      <c r="D72" s="7">
        <v>3520014572039</v>
      </c>
      <c r="E72" s="5">
        <v>9</v>
      </c>
      <c r="F72" s="5">
        <v>71</v>
      </c>
      <c r="G72" s="5" t="s">
        <v>2552</v>
      </c>
      <c r="H72" s="5">
        <v>4720</v>
      </c>
      <c r="I72" s="5">
        <v>0.83</v>
      </c>
      <c r="J72" s="82">
        <v>45127</v>
      </c>
      <c r="K72" s="82">
        <v>45867</v>
      </c>
      <c r="L72" s="81">
        <f t="shared" si="4"/>
        <v>24</v>
      </c>
      <c r="M72" s="5">
        <f t="shared" ref="M72:M73" si="8">N72*L72</f>
        <v>120000</v>
      </c>
      <c r="N72" s="5">
        <v>5000</v>
      </c>
      <c r="O72" s="6" t="s">
        <v>268</v>
      </c>
      <c r="P72" s="5" t="s">
        <v>269</v>
      </c>
      <c r="Q72" s="5" t="s">
        <v>2556</v>
      </c>
      <c r="R72" s="38"/>
    </row>
    <row r="73" spans="1:18" ht="31.2">
      <c r="A73" s="5">
        <v>72</v>
      </c>
      <c r="B73" s="5" t="s">
        <v>270</v>
      </c>
      <c r="C73" s="6" t="s">
        <v>271</v>
      </c>
      <c r="D73" s="7" t="s">
        <v>272</v>
      </c>
      <c r="E73" s="5">
        <v>9</v>
      </c>
      <c r="F73" s="5">
        <v>72</v>
      </c>
      <c r="G73" s="5" t="s">
        <v>2552</v>
      </c>
      <c r="H73" s="5">
        <v>4720</v>
      </c>
      <c r="I73" s="5">
        <v>0.83</v>
      </c>
      <c r="J73" s="82">
        <v>45127</v>
      </c>
      <c r="K73" s="82">
        <v>45867</v>
      </c>
      <c r="L73" s="81">
        <f t="shared" si="4"/>
        <v>24</v>
      </c>
      <c r="M73" s="5">
        <f t="shared" si="8"/>
        <v>120000</v>
      </c>
      <c r="N73" s="5">
        <v>5000</v>
      </c>
      <c r="O73" s="21" t="s">
        <v>273</v>
      </c>
      <c r="P73" s="5" t="s">
        <v>274</v>
      </c>
      <c r="Q73" s="5" t="s">
        <v>2556</v>
      </c>
      <c r="R73" s="38"/>
    </row>
    <row r="74" spans="1:18" ht="28.8">
      <c r="A74" s="5">
        <v>73</v>
      </c>
      <c r="B74" s="5">
        <v>71202</v>
      </c>
      <c r="C74" s="6" t="s">
        <v>275</v>
      </c>
      <c r="D74" s="7" t="s">
        <v>276</v>
      </c>
      <c r="E74" s="5">
        <v>9</v>
      </c>
      <c r="F74" s="5">
        <v>73</v>
      </c>
      <c r="G74" s="5" t="s">
        <v>2552</v>
      </c>
      <c r="H74" s="5">
        <v>4720</v>
      </c>
      <c r="I74" s="5">
        <v>0.83</v>
      </c>
      <c r="J74" s="82">
        <v>45127</v>
      </c>
      <c r="K74" s="82">
        <v>45867</v>
      </c>
      <c r="L74" s="81">
        <f t="shared" si="4"/>
        <v>24</v>
      </c>
      <c r="M74" s="5">
        <f t="shared" si="6"/>
        <v>94022.399999999994</v>
      </c>
      <c r="N74" s="5">
        <f t="shared" si="7"/>
        <v>3917.6</v>
      </c>
      <c r="O74" s="6" t="s">
        <v>277</v>
      </c>
      <c r="P74" s="5" t="s">
        <v>278</v>
      </c>
      <c r="Q74" s="5" t="s">
        <v>2553</v>
      </c>
      <c r="R74" s="38"/>
    </row>
    <row r="75" spans="1:18" ht="28.8">
      <c r="A75" s="5">
        <v>74</v>
      </c>
      <c r="B75" s="5">
        <v>71003</v>
      </c>
      <c r="C75" s="6" t="s">
        <v>279</v>
      </c>
      <c r="D75" s="7">
        <v>3740637909803</v>
      </c>
      <c r="E75" s="5">
        <v>9</v>
      </c>
      <c r="F75" s="5">
        <v>74</v>
      </c>
      <c r="G75" s="5" t="s">
        <v>2552</v>
      </c>
      <c r="H75" s="5">
        <v>4720</v>
      </c>
      <c r="I75" s="5">
        <v>0.83</v>
      </c>
      <c r="J75" s="82">
        <v>45127</v>
      </c>
      <c r="K75" s="82">
        <v>45867</v>
      </c>
      <c r="L75" s="81">
        <f t="shared" si="4"/>
        <v>24</v>
      </c>
      <c r="M75" s="5">
        <f t="shared" si="6"/>
        <v>94022.399999999994</v>
      </c>
      <c r="N75" s="5">
        <f t="shared" si="7"/>
        <v>3917.6</v>
      </c>
      <c r="O75" s="6" t="s">
        <v>280</v>
      </c>
      <c r="P75" s="5">
        <v>3005514880</v>
      </c>
      <c r="Q75" s="5" t="s">
        <v>2553</v>
      </c>
      <c r="R75" s="38"/>
    </row>
    <row r="76" spans="1:18" ht="43.2">
      <c r="A76" s="5">
        <v>75</v>
      </c>
      <c r="B76" s="5" t="s">
        <v>281</v>
      </c>
      <c r="C76" s="6" t="s">
        <v>282</v>
      </c>
      <c r="D76" s="7">
        <v>1730195876563</v>
      </c>
      <c r="E76" s="5">
        <v>9</v>
      </c>
      <c r="F76" s="5">
        <v>75</v>
      </c>
      <c r="G76" s="5" t="s">
        <v>2552</v>
      </c>
      <c r="H76" s="5">
        <v>4720</v>
      </c>
      <c r="I76" s="5">
        <v>0.83</v>
      </c>
      <c r="J76" s="82">
        <v>45127</v>
      </c>
      <c r="K76" s="82">
        <v>45867</v>
      </c>
      <c r="L76" s="81">
        <f t="shared" si="4"/>
        <v>24</v>
      </c>
      <c r="M76" s="5">
        <f t="shared" si="6"/>
        <v>94022.399999999994</v>
      </c>
      <c r="N76" s="5">
        <f t="shared" si="7"/>
        <v>3917.6</v>
      </c>
      <c r="O76" s="6" t="s">
        <v>283</v>
      </c>
      <c r="P76" s="5">
        <v>3008598384</v>
      </c>
      <c r="Q76" s="5" t="s">
        <v>2553</v>
      </c>
      <c r="R76" s="38"/>
    </row>
    <row r="77" spans="1:18" ht="28.8">
      <c r="A77" s="5">
        <v>76</v>
      </c>
      <c r="B77" s="5">
        <v>71207</v>
      </c>
      <c r="C77" s="6" t="s">
        <v>284</v>
      </c>
      <c r="D77" s="7" t="s">
        <v>285</v>
      </c>
      <c r="E77" s="5">
        <v>9</v>
      </c>
      <c r="F77" s="5">
        <v>76</v>
      </c>
      <c r="G77" s="5" t="s">
        <v>2552</v>
      </c>
      <c r="H77" s="5">
        <v>4720</v>
      </c>
      <c r="I77" s="5">
        <v>0.83</v>
      </c>
      <c r="J77" s="82">
        <v>45127</v>
      </c>
      <c r="K77" s="82">
        <v>45867</v>
      </c>
      <c r="L77" s="81">
        <f t="shared" si="4"/>
        <v>24</v>
      </c>
      <c r="M77" s="5">
        <f t="shared" si="6"/>
        <v>94022.399999999994</v>
      </c>
      <c r="N77" s="5">
        <f t="shared" si="7"/>
        <v>3917.6</v>
      </c>
      <c r="O77" s="6" t="s">
        <v>286</v>
      </c>
      <c r="P77" s="5" t="s">
        <v>287</v>
      </c>
      <c r="Q77" s="5" t="s">
        <v>2553</v>
      </c>
      <c r="R77" s="38"/>
    </row>
    <row r="78" spans="1:18" ht="28.8">
      <c r="A78" s="5">
        <v>77</v>
      </c>
      <c r="B78" s="5">
        <v>71100</v>
      </c>
      <c r="C78" s="6" t="s">
        <v>288</v>
      </c>
      <c r="D78" s="7">
        <v>3520014496849</v>
      </c>
      <c r="E78" s="5">
        <v>9</v>
      </c>
      <c r="F78" s="5">
        <v>77</v>
      </c>
      <c r="G78" s="5" t="s">
        <v>2552</v>
      </c>
      <c r="H78" s="5">
        <v>4720</v>
      </c>
      <c r="I78" s="5">
        <v>0.83</v>
      </c>
      <c r="J78" s="82">
        <v>45127</v>
      </c>
      <c r="K78" s="82">
        <v>45867</v>
      </c>
      <c r="L78" s="81">
        <f t="shared" si="4"/>
        <v>24</v>
      </c>
      <c r="M78" s="5">
        <f t="shared" ref="M78:M79" si="9">N78*L78</f>
        <v>120000</v>
      </c>
      <c r="N78" s="5">
        <v>5000</v>
      </c>
      <c r="O78" s="42" t="s">
        <v>289</v>
      </c>
      <c r="P78" s="5" t="s">
        <v>290</v>
      </c>
      <c r="Q78" s="5" t="s">
        <v>2556</v>
      </c>
      <c r="R78" s="38"/>
    </row>
    <row r="79" spans="1:18" ht="28.8">
      <c r="A79" s="5">
        <v>78</v>
      </c>
      <c r="B79" s="5" t="s">
        <v>291</v>
      </c>
      <c r="C79" s="6" t="s">
        <v>292</v>
      </c>
      <c r="D79" s="7">
        <v>6110129493306</v>
      </c>
      <c r="E79" s="5">
        <v>9</v>
      </c>
      <c r="F79" s="5">
        <v>78</v>
      </c>
      <c r="G79" s="5" t="s">
        <v>2552</v>
      </c>
      <c r="H79" s="5">
        <v>4720</v>
      </c>
      <c r="I79" s="5">
        <v>0.83</v>
      </c>
      <c r="J79" s="82">
        <v>45127</v>
      </c>
      <c r="K79" s="82">
        <v>45867</v>
      </c>
      <c r="L79" s="81">
        <f t="shared" si="4"/>
        <v>24</v>
      </c>
      <c r="M79" s="5">
        <f t="shared" si="9"/>
        <v>120000</v>
      </c>
      <c r="N79" s="5">
        <v>5000</v>
      </c>
      <c r="O79" s="6" t="s">
        <v>293</v>
      </c>
      <c r="P79" s="5"/>
      <c r="Q79" s="5" t="s">
        <v>2556</v>
      </c>
      <c r="R79" s="38"/>
    </row>
    <row r="80" spans="1:18" ht="28.8">
      <c r="A80" s="5">
        <v>79</v>
      </c>
      <c r="B80" s="5">
        <v>71296</v>
      </c>
      <c r="C80" s="6" t="s">
        <v>294</v>
      </c>
      <c r="D80" s="7" t="s">
        <v>295</v>
      </c>
      <c r="E80" s="5">
        <v>9</v>
      </c>
      <c r="F80" s="5">
        <v>79</v>
      </c>
      <c r="G80" s="5" t="s">
        <v>2552</v>
      </c>
      <c r="H80" s="5">
        <v>4720</v>
      </c>
      <c r="I80" s="5">
        <v>0.83</v>
      </c>
      <c r="J80" s="82">
        <v>45127</v>
      </c>
      <c r="K80" s="82">
        <v>45867</v>
      </c>
      <c r="L80" s="81">
        <f t="shared" si="4"/>
        <v>24</v>
      </c>
      <c r="M80" s="5">
        <f t="shared" si="6"/>
        <v>94022.399999999994</v>
      </c>
      <c r="N80" s="5">
        <f t="shared" si="7"/>
        <v>3917.6</v>
      </c>
      <c r="O80" s="42" t="s">
        <v>296</v>
      </c>
      <c r="P80" s="5" t="s">
        <v>297</v>
      </c>
      <c r="Q80" s="5" t="s">
        <v>2553</v>
      </c>
      <c r="R80" s="38"/>
    </row>
    <row r="81" spans="1:18" ht="28.8">
      <c r="A81" s="5">
        <v>80</v>
      </c>
      <c r="B81" s="5" t="s">
        <v>298</v>
      </c>
      <c r="C81" s="6" t="s">
        <v>299</v>
      </c>
      <c r="D81" s="7">
        <v>3520226840305</v>
      </c>
      <c r="E81" s="5">
        <v>10</v>
      </c>
      <c r="F81" s="5">
        <v>80</v>
      </c>
      <c r="G81" s="5" t="s">
        <v>2552</v>
      </c>
      <c r="H81" s="5">
        <v>4720</v>
      </c>
      <c r="I81" s="5">
        <v>0.83</v>
      </c>
      <c r="J81" s="82">
        <v>45127</v>
      </c>
      <c r="K81" s="82">
        <v>45867</v>
      </c>
      <c r="L81" s="81">
        <f t="shared" si="4"/>
        <v>24</v>
      </c>
      <c r="M81" s="5">
        <f t="shared" si="6"/>
        <v>94022.399999999994</v>
      </c>
      <c r="N81" s="5">
        <f t="shared" si="7"/>
        <v>3917.6</v>
      </c>
      <c r="O81" s="42" t="s">
        <v>300</v>
      </c>
      <c r="P81" s="5" t="s">
        <v>301</v>
      </c>
      <c r="Q81" s="27" t="s">
        <v>2553</v>
      </c>
      <c r="R81" s="38"/>
    </row>
    <row r="82" spans="1:18" ht="86.4">
      <c r="A82" s="57">
        <v>81</v>
      </c>
      <c r="B82" s="57" t="s">
        <v>302</v>
      </c>
      <c r="C82" s="66" t="s">
        <v>303</v>
      </c>
      <c r="D82" s="67" t="s">
        <v>304</v>
      </c>
      <c r="E82" s="57">
        <v>10</v>
      </c>
      <c r="F82" s="57">
        <v>81</v>
      </c>
      <c r="G82" s="57" t="s">
        <v>2552</v>
      </c>
      <c r="H82" s="5">
        <v>4720</v>
      </c>
      <c r="I82" s="5">
        <v>0.83</v>
      </c>
      <c r="J82" s="82">
        <v>45127</v>
      </c>
      <c r="K82" s="82">
        <v>45867</v>
      </c>
      <c r="L82" s="81">
        <f t="shared" si="4"/>
        <v>24</v>
      </c>
      <c r="M82" s="5">
        <f t="shared" si="6"/>
        <v>94022.399999999994</v>
      </c>
      <c r="N82" s="5">
        <f t="shared" si="7"/>
        <v>3917.6</v>
      </c>
      <c r="O82" s="66" t="s">
        <v>305</v>
      </c>
      <c r="P82" s="57" t="s">
        <v>306</v>
      </c>
      <c r="Q82" s="27" t="s">
        <v>2553</v>
      </c>
      <c r="R82" s="60"/>
    </row>
    <row r="83" spans="1:18" ht="28.8">
      <c r="A83" s="5">
        <v>82</v>
      </c>
      <c r="B83" s="5">
        <v>71061</v>
      </c>
      <c r="C83" s="6" t="s">
        <v>307</v>
      </c>
      <c r="D83" s="7">
        <v>3520049778413</v>
      </c>
      <c r="E83" s="5">
        <v>10</v>
      </c>
      <c r="F83" s="5">
        <v>82</v>
      </c>
      <c r="G83" s="5" t="s">
        <v>2552</v>
      </c>
      <c r="H83" s="5">
        <v>4720</v>
      </c>
      <c r="I83" s="5">
        <v>0.83</v>
      </c>
      <c r="J83" s="82">
        <v>45127</v>
      </c>
      <c r="K83" s="82">
        <v>45867</v>
      </c>
      <c r="L83" s="81">
        <f t="shared" si="4"/>
        <v>24</v>
      </c>
      <c r="M83" s="5">
        <f t="shared" si="6"/>
        <v>94022.399999999994</v>
      </c>
      <c r="N83" s="5">
        <f t="shared" si="7"/>
        <v>3917.6</v>
      </c>
      <c r="O83" s="6" t="s">
        <v>308</v>
      </c>
      <c r="P83" s="5" t="s">
        <v>309</v>
      </c>
      <c r="Q83" s="27" t="s">
        <v>2553</v>
      </c>
      <c r="R83" s="38"/>
    </row>
    <row r="84" spans="1:18" ht="28.8">
      <c r="A84" s="5">
        <v>83</v>
      </c>
      <c r="B84" s="5" t="s">
        <v>310</v>
      </c>
      <c r="C84" s="6" t="s">
        <v>311</v>
      </c>
      <c r="D84" s="7" t="s">
        <v>312</v>
      </c>
      <c r="E84" s="5">
        <v>10</v>
      </c>
      <c r="F84" s="5">
        <v>83</v>
      </c>
      <c r="G84" s="5" t="s">
        <v>2552</v>
      </c>
      <c r="H84" s="5">
        <v>4720</v>
      </c>
      <c r="I84" s="5">
        <v>0.83</v>
      </c>
      <c r="J84" s="82">
        <v>45127</v>
      </c>
      <c r="K84" s="82">
        <v>45867</v>
      </c>
      <c r="L84" s="81">
        <f t="shared" si="4"/>
        <v>24</v>
      </c>
      <c r="M84" s="5">
        <f t="shared" si="6"/>
        <v>94022.399999999994</v>
      </c>
      <c r="N84" s="5">
        <f t="shared" si="7"/>
        <v>3917.6</v>
      </c>
      <c r="O84" s="6" t="s">
        <v>313</v>
      </c>
      <c r="P84" s="5"/>
      <c r="Q84" s="27" t="s">
        <v>2553</v>
      </c>
      <c r="R84" s="38"/>
    </row>
    <row r="85" spans="1:18" ht="31.2">
      <c r="A85" s="5">
        <v>84</v>
      </c>
      <c r="B85" s="5" t="s">
        <v>2441</v>
      </c>
      <c r="C85" s="6" t="s">
        <v>1609</v>
      </c>
      <c r="D85" s="7" t="s">
        <v>2340</v>
      </c>
      <c r="E85" s="5">
        <v>10</v>
      </c>
      <c r="F85" s="5">
        <v>84</v>
      </c>
      <c r="G85" s="5" t="s">
        <v>2552</v>
      </c>
      <c r="H85" s="5">
        <v>4720</v>
      </c>
      <c r="I85" s="5">
        <v>0.83</v>
      </c>
      <c r="J85" s="82">
        <v>45127</v>
      </c>
      <c r="K85" s="82">
        <v>45867</v>
      </c>
      <c r="L85" s="81">
        <f t="shared" si="4"/>
        <v>24</v>
      </c>
      <c r="M85" s="5">
        <f t="shared" si="6"/>
        <v>94022.399999999994</v>
      </c>
      <c r="N85" s="5">
        <f t="shared" si="7"/>
        <v>3917.6</v>
      </c>
      <c r="O85" s="21" t="s">
        <v>2442</v>
      </c>
      <c r="P85" s="5" t="s">
        <v>1598</v>
      </c>
      <c r="Q85" s="27" t="s">
        <v>2553</v>
      </c>
      <c r="R85" s="38"/>
    </row>
    <row r="86" spans="1:18" ht="28.8">
      <c r="A86" s="5">
        <v>85</v>
      </c>
      <c r="B86" s="5">
        <v>71299</v>
      </c>
      <c r="C86" s="6" t="s">
        <v>47</v>
      </c>
      <c r="D86" s="7" t="s">
        <v>314</v>
      </c>
      <c r="E86" s="5">
        <v>10</v>
      </c>
      <c r="F86" s="5">
        <v>85</v>
      </c>
      <c r="G86" s="5" t="s">
        <v>2552</v>
      </c>
      <c r="H86" s="5">
        <v>4720</v>
      </c>
      <c r="I86" s="5">
        <v>0.83</v>
      </c>
      <c r="J86" s="82">
        <v>45127</v>
      </c>
      <c r="K86" s="82">
        <v>45867</v>
      </c>
      <c r="L86" s="81">
        <f t="shared" si="4"/>
        <v>24</v>
      </c>
      <c r="M86" s="5">
        <f t="shared" si="6"/>
        <v>94022.399999999994</v>
      </c>
      <c r="N86" s="5">
        <f t="shared" si="7"/>
        <v>3917.6</v>
      </c>
      <c r="O86" s="6" t="s">
        <v>315</v>
      </c>
      <c r="P86" s="5" t="s">
        <v>316</v>
      </c>
      <c r="Q86" s="27" t="s">
        <v>2553</v>
      </c>
      <c r="R86" s="38"/>
    </row>
    <row r="87" spans="1:18" ht="28.8">
      <c r="A87" s="5">
        <v>86</v>
      </c>
      <c r="B87" s="5" t="s">
        <v>317</v>
      </c>
      <c r="C87" s="6" t="s">
        <v>318</v>
      </c>
      <c r="D87" s="7" t="s">
        <v>319</v>
      </c>
      <c r="E87" s="5">
        <v>10</v>
      </c>
      <c r="F87" s="5">
        <v>86</v>
      </c>
      <c r="G87" s="5" t="s">
        <v>2552</v>
      </c>
      <c r="H87" s="5">
        <v>4720</v>
      </c>
      <c r="I87" s="5">
        <v>0.83</v>
      </c>
      <c r="J87" s="82">
        <v>45127</v>
      </c>
      <c r="K87" s="82">
        <v>45867</v>
      </c>
      <c r="L87" s="81">
        <f t="shared" si="4"/>
        <v>24</v>
      </c>
      <c r="M87" s="5">
        <f t="shared" si="6"/>
        <v>94022.399999999994</v>
      </c>
      <c r="N87" s="5">
        <f t="shared" si="7"/>
        <v>3917.6</v>
      </c>
      <c r="O87" s="6" t="s">
        <v>320</v>
      </c>
      <c r="P87" s="5"/>
      <c r="Q87" s="27" t="s">
        <v>2553</v>
      </c>
      <c r="R87" s="38"/>
    </row>
    <row r="88" spans="1:18" ht="28.8">
      <c r="A88" s="5">
        <v>87</v>
      </c>
      <c r="B88" s="5" t="s">
        <v>2353</v>
      </c>
      <c r="C88" s="6" t="s">
        <v>2352</v>
      </c>
      <c r="D88" s="7" t="s">
        <v>2354</v>
      </c>
      <c r="E88" s="5">
        <v>10</v>
      </c>
      <c r="F88" s="5">
        <v>87</v>
      </c>
      <c r="G88" s="5" t="s">
        <v>2552</v>
      </c>
      <c r="H88" s="5">
        <v>4720</v>
      </c>
      <c r="I88" s="5">
        <v>0.83</v>
      </c>
      <c r="J88" s="82">
        <v>45127</v>
      </c>
      <c r="K88" s="82">
        <v>45867</v>
      </c>
      <c r="L88" s="81">
        <f t="shared" si="4"/>
        <v>24</v>
      </c>
      <c r="M88" s="5">
        <f t="shared" si="6"/>
        <v>94022.399999999994</v>
      </c>
      <c r="N88" s="5">
        <f t="shared" si="7"/>
        <v>3917.6</v>
      </c>
      <c r="O88" s="6" t="s">
        <v>2355</v>
      </c>
      <c r="P88" s="5" t="s">
        <v>2356</v>
      </c>
      <c r="Q88" s="27" t="s">
        <v>2553</v>
      </c>
      <c r="R88" s="38"/>
    </row>
    <row r="89" spans="1:18" ht="28.8">
      <c r="A89" s="5">
        <v>88</v>
      </c>
      <c r="B89" s="5">
        <v>71276</v>
      </c>
      <c r="C89" s="6" t="s">
        <v>321</v>
      </c>
      <c r="D89" s="7" t="s">
        <v>179</v>
      </c>
      <c r="E89" s="5">
        <v>10</v>
      </c>
      <c r="F89" s="5">
        <v>88</v>
      </c>
      <c r="G89" s="5" t="s">
        <v>2552</v>
      </c>
      <c r="H89" s="5">
        <v>4720</v>
      </c>
      <c r="I89" s="5">
        <v>0.83</v>
      </c>
      <c r="J89" s="82">
        <v>45127</v>
      </c>
      <c r="K89" s="82">
        <v>45867</v>
      </c>
      <c r="L89" s="81">
        <f t="shared" si="4"/>
        <v>24</v>
      </c>
      <c r="M89" s="5">
        <f t="shared" si="6"/>
        <v>94022.399999999994</v>
      </c>
      <c r="N89" s="5">
        <f t="shared" si="7"/>
        <v>3917.6</v>
      </c>
      <c r="O89" s="6" t="s">
        <v>322</v>
      </c>
      <c r="P89" s="5" t="s">
        <v>323</v>
      </c>
      <c r="Q89" s="27" t="s">
        <v>2553</v>
      </c>
      <c r="R89" s="38"/>
    </row>
    <row r="90" spans="1:18" ht="28.8">
      <c r="A90" s="5">
        <v>89</v>
      </c>
      <c r="B90" s="5" t="s">
        <v>324</v>
      </c>
      <c r="C90" s="6" t="s">
        <v>325</v>
      </c>
      <c r="D90" s="7">
        <v>3520014116035</v>
      </c>
      <c r="E90" s="5">
        <v>10</v>
      </c>
      <c r="F90" s="5">
        <v>89</v>
      </c>
      <c r="G90" s="5" t="s">
        <v>2552</v>
      </c>
      <c r="H90" s="5">
        <v>4720</v>
      </c>
      <c r="I90" s="5">
        <v>0.83</v>
      </c>
      <c r="J90" s="82">
        <v>45127</v>
      </c>
      <c r="K90" s="82">
        <v>45867</v>
      </c>
      <c r="L90" s="81">
        <f t="shared" si="4"/>
        <v>24</v>
      </c>
      <c r="M90" s="5">
        <f t="shared" si="6"/>
        <v>94022.399999999994</v>
      </c>
      <c r="N90" s="5">
        <f t="shared" si="7"/>
        <v>3917.6</v>
      </c>
      <c r="O90" s="6" t="s">
        <v>326</v>
      </c>
      <c r="P90" s="5" t="s">
        <v>327</v>
      </c>
      <c r="Q90" s="27" t="s">
        <v>2553</v>
      </c>
      <c r="R90" s="39"/>
    </row>
    <row r="91" spans="1:18" ht="28.8">
      <c r="A91" s="5">
        <v>90</v>
      </c>
      <c r="B91" s="5" t="s">
        <v>328</v>
      </c>
      <c r="C91" s="6" t="s">
        <v>329</v>
      </c>
      <c r="D91" s="7" t="s">
        <v>330</v>
      </c>
      <c r="E91" s="5">
        <v>11</v>
      </c>
      <c r="F91" s="5">
        <v>90</v>
      </c>
      <c r="G91" s="5" t="s">
        <v>2552</v>
      </c>
      <c r="H91" s="5">
        <v>4720</v>
      </c>
      <c r="I91" s="5">
        <v>0.83</v>
      </c>
      <c r="J91" s="82">
        <v>45127</v>
      </c>
      <c r="K91" s="82">
        <v>45867</v>
      </c>
      <c r="L91" s="81">
        <f t="shared" si="4"/>
        <v>24</v>
      </c>
      <c r="M91" s="5">
        <f t="shared" si="6"/>
        <v>94022.399999999994</v>
      </c>
      <c r="N91" s="5">
        <f t="shared" si="7"/>
        <v>3917.6</v>
      </c>
      <c r="O91" s="6" t="s">
        <v>331</v>
      </c>
      <c r="P91" s="5" t="s">
        <v>332</v>
      </c>
      <c r="Q91" s="5" t="s">
        <v>2553</v>
      </c>
      <c r="R91" s="38"/>
    </row>
    <row r="92" spans="1:18" ht="28.8">
      <c r="A92" s="5">
        <v>91</v>
      </c>
      <c r="B92" s="5">
        <v>40541</v>
      </c>
      <c r="C92" s="22" t="s">
        <v>333</v>
      </c>
      <c r="D92" s="23">
        <v>9100901000117</v>
      </c>
      <c r="E92" s="5">
        <v>11</v>
      </c>
      <c r="F92" s="5">
        <v>91</v>
      </c>
      <c r="G92" s="5" t="s">
        <v>2552</v>
      </c>
      <c r="H92" s="5">
        <v>4720</v>
      </c>
      <c r="I92" s="5">
        <v>0.83</v>
      </c>
      <c r="J92" s="82">
        <v>45127</v>
      </c>
      <c r="K92" s="82">
        <v>45867</v>
      </c>
      <c r="L92" s="81">
        <f t="shared" si="4"/>
        <v>24</v>
      </c>
      <c r="M92" s="5">
        <f t="shared" ref="M92:M93" si="10">N92*L92</f>
        <v>120000</v>
      </c>
      <c r="N92" s="5">
        <v>5000</v>
      </c>
      <c r="O92" s="22" t="s">
        <v>334</v>
      </c>
      <c r="P92" s="24">
        <v>85291872852</v>
      </c>
      <c r="Q92" s="5" t="s">
        <v>2556</v>
      </c>
      <c r="R92" s="38"/>
    </row>
    <row r="93" spans="1:18" ht="28.8">
      <c r="A93" s="57">
        <v>92</v>
      </c>
      <c r="B93" s="57" t="s">
        <v>335</v>
      </c>
      <c r="C93" s="66" t="s">
        <v>336</v>
      </c>
      <c r="D93" s="67" t="s">
        <v>337</v>
      </c>
      <c r="E93" s="57">
        <v>11</v>
      </c>
      <c r="F93" s="57">
        <v>92</v>
      </c>
      <c r="G93" s="57" t="s">
        <v>2552</v>
      </c>
      <c r="H93" s="5">
        <v>4720</v>
      </c>
      <c r="I93" s="5">
        <v>0.83</v>
      </c>
      <c r="J93" s="82">
        <v>45127</v>
      </c>
      <c r="K93" s="82">
        <v>45867</v>
      </c>
      <c r="L93" s="81">
        <f t="shared" si="4"/>
        <v>24</v>
      </c>
      <c r="M93" s="5">
        <f t="shared" si="10"/>
        <v>120000</v>
      </c>
      <c r="N93" s="5">
        <v>5000</v>
      </c>
      <c r="O93" s="66" t="s">
        <v>338</v>
      </c>
      <c r="P93" s="57">
        <v>3215169453</v>
      </c>
      <c r="Q93" s="5" t="s">
        <v>2556</v>
      </c>
      <c r="R93" s="60"/>
    </row>
    <row r="94" spans="1:18" ht="28.8">
      <c r="A94" s="5">
        <v>93</v>
      </c>
      <c r="B94" s="5" t="s">
        <v>339</v>
      </c>
      <c r="C94" s="6" t="s">
        <v>340</v>
      </c>
      <c r="D94" s="7" t="s">
        <v>341</v>
      </c>
      <c r="E94" s="5">
        <v>11</v>
      </c>
      <c r="F94" s="5">
        <v>93</v>
      </c>
      <c r="G94" s="5" t="s">
        <v>2552</v>
      </c>
      <c r="H94" s="5">
        <v>4720</v>
      </c>
      <c r="I94" s="5">
        <v>0.83</v>
      </c>
      <c r="J94" s="82">
        <v>45127</v>
      </c>
      <c r="K94" s="82">
        <v>45867</v>
      </c>
      <c r="L94" s="81">
        <f t="shared" si="4"/>
        <v>24</v>
      </c>
      <c r="M94" s="5">
        <f t="shared" si="6"/>
        <v>94022.399999999994</v>
      </c>
      <c r="N94" s="5">
        <f t="shared" si="7"/>
        <v>3917.6</v>
      </c>
      <c r="O94" s="6" t="s">
        <v>342</v>
      </c>
      <c r="P94" s="5" t="s">
        <v>255</v>
      </c>
      <c r="Q94" s="5" t="s">
        <v>2553</v>
      </c>
      <c r="R94" s="38"/>
    </row>
    <row r="95" spans="1:18" ht="28.8">
      <c r="A95" s="5">
        <v>94</v>
      </c>
      <c r="B95" s="5" t="s">
        <v>343</v>
      </c>
      <c r="C95" s="6" t="s">
        <v>344</v>
      </c>
      <c r="D95" s="7" t="s">
        <v>345</v>
      </c>
      <c r="E95" s="5">
        <v>11</v>
      </c>
      <c r="F95" s="5">
        <v>94</v>
      </c>
      <c r="G95" s="5" t="s">
        <v>2552</v>
      </c>
      <c r="H95" s="5">
        <v>4720</v>
      </c>
      <c r="I95" s="5">
        <v>0.83</v>
      </c>
      <c r="J95" s="82">
        <v>45127</v>
      </c>
      <c r="K95" s="82">
        <v>45867</v>
      </c>
      <c r="L95" s="81">
        <f t="shared" si="4"/>
        <v>24</v>
      </c>
      <c r="M95" s="5">
        <f t="shared" si="6"/>
        <v>94022.399999999994</v>
      </c>
      <c r="N95" s="5">
        <f t="shared" si="7"/>
        <v>3917.6</v>
      </c>
      <c r="O95" s="6" t="s">
        <v>346</v>
      </c>
      <c r="P95" s="5" t="s">
        <v>347</v>
      </c>
      <c r="Q95" s="5" t="s">
        <v>2553</v>
      </c>
      <c r="R95" s="38"/>
    </row>
    <row r="96" spans="1:18" ht="28.8">
      <c r="A96" s="5">
        <v>95</v>
      </c>
      <c r="B96" s="5" t="s">
        <v>348</v>
      </c>
      <c r="C96" s="6" t="s">
        <v>349</v>
      </c>
      <c r="D96" s="7" t="s">
        <v>350</v>
      </c>
      <c r="E96" s="5">
        <v>11</v>
      </c>
      <c r="F96" s="5">
        <v>95</v>
      </c>
      <c r="G96" s="5" t="s">
        <v>2552</v>
      </c>
      <c r="H96" s="5">
        <v>4720</v>
      </c>
      <c r="I96" s="5">
        <v>0.83</v>
      </c>
      <c r="J96" s="82">
        <v>45127</v>
      </c>
      <c r="K96" s="82">
        <v>45867</v>
      </c>
      <c r="L96" s="81">
        <f t="shared" si="4"/>
        <v>24</v>
      </c>
      <c r="M96" s="5">
        <f>N96*L96</f>
        <v>120000</v>
      </c>
      <c r="N96" s="5">
        <v>5000</v>
      </c>
      <c r="O96" s="6" t="s">
        <v>351</v>
      </c>
      <c r="P96" s="5"/>
      <c r="Q96" s="5" t="s">
        <v>2556</v>
      </c>
      <c r="R96" s="38"/>
    </row>
    <row r="97" spans="1:18" ht="28.8">
      <c r="A97" s="5">
        <v>96</v>
      </c>
      <c r="B97" s="5" t="s">
        <v>2519</v>
      </c>
      <c r="C97" s="6" t="s">
        <v>2518</v>
      </c>
      <c r="D97" s="7" t="s">
        <v>2520</v>
      </c>
      <c r="E97" s="5">
        <v>11</v>
      </c>
      <c r="F97" s="5">
        <v>96</v>
      </c>
      <c r="G97" s="5" t="s">
        <v>2552</v>
      </c>
      <c r="H97" s="5">
        <v>4720</v>
      </c>
      <c r="I97" s="5">
        <v>0.83</v>
      </c>
      <c r="J97" s="82">
        <v>45127</v>
      </c>
      <c r="K97" s="82">
        <v>45867</v>
      </c>
      <c r="L97" s="81">
        <f t="shared" si="4"/>
        <v>24</v>
      </c>
      <c r="M97" s="5">
        <f t="shared" si="6"/>
        <v>94022.399999999994</v>
      </c>
      <c r="N97" s="5">
        <f t="shared" si="7"/>
        <v>3917.6</v>
      </c>
      <c r="O97" s="6" t="s">
        <v>2521</v>
      </c>
      <c r="P97" s="5" t="s">
        <v>2522</v>
      </c>
      <c r="Q97" s="5" t="s">
        <v>2553</v>
      </c>
      <c r="R97" s="38"/>
    </row>
    <row r="98" spans="1:18" ht="28.8">
      <c r="A98" s="5">
        <v>97</v>
      </c>
      <c r="B98" s="5">
        <v>71168</v>
      </c>
      <c r="C98" s="6" t="s">
        <v>352</v>
      </c>
      <c r="D98" s="7">
        <v>6110120002309</v>
      </c>
      <c r="E98" s="5">
        <v>11</v>
      </c>
      <c r="F98" s="5">
        <v>97</v>
      </c>
      <c r="G98" s="5" t="s">
        <v>2552</v>
      </c>
      <c r="H98" s="5">
        <v>4720</v>
      </c>
      <c r="I98" s="5">
        <v>0.83</v>
      </c>
      <c r="J98" s="82">
        <v>45127</v>
      </c>
      <c r="K98" s="82">
        <v>45867</v>
      </c>
      <c r="L98" s="81">
        <f t="shared" si="4"/>
        <v>24</v>
      </c>
      <c r="M98" s="5">
        <f t="shared" si="6"/>
        <v>94022.399999999994</v>
      </c>
      <c r="N98" s="5">
        <f t="shared" si="7"/>
        <v>3917.6</v>
      </c>
      <c r="O98" s="6" t="s">
        <v>353</v>
      </c>
      <c r="P98" s="5" t="s">
        <v>354</v>
      </c>
      <c r="Q98" s="5" t="s">
        <v>2553</v>
      </c>
      <c r="R98" s="38"/>
    </row>
    <row r="99" spans="1:18" ht="28.8">
      <c r="A99" s="5">
        <v>98</v>
      </c>
      <c r="B99" s="5" t="s">
        <v>355</v>
      </c>
      <c r="C99" s="6" t="s">
        <v>356</v>
      </c>
      <c r="D99" s="7">
        <v>6110102904315</v>
      </c>
      <c r="E99" s="5">
        <v>11</v>
      </c>
      <c r="F99" s="5">
        <v>98</v>
      </c>
      <c r="G99" s="5" t="s">
        <v>2552</v>
      </c>
      <c r="H99" s="5">
        <v>4720</v>
      </c>
      <c r="I99" s="5">
        <v>0.83</v>
      </c>
      <c r="J99" s="82">
        <v>45127</v>
      </c>
      <c r="K99" s="82">
        <v>45867</v>
      </c>
      <c r="L99" s="81">
        <f t="shared" si="4"/>
        <v>24</v>
      </c>
      <c r="M99" s="5">
        <f t="shared" si="6"/>
        <v>94022.399999999994</v>
      </c>
      <c r="N99" s="5">
        <f t="shared" si="7"/>
        <v>3917.6</v>
      </c>
      <c r="O99" s="6" t="s">
        <v>357</v>
      </c>
      <c r="P99" s="5">
        <v>3008548853</v>
      </c>
      <c r="Q99" s="5" t="s">
        <v>2553</v>
      </c>
      <c r="R99" s="38"/>
    </row>
    <row r="100" spans="1:18" ht="28.8">
      <c r="A100" s="5">
        <v>99</v>
      </c>
      <c r="B100" s="5">
        <v>71005</v>
      </c>
      <c r="C100" s="6" t="s">
        <v>358</v>
      </c>
      <c r="D100" s="7">
        <v>6110190667467</v>
      </c>
      <c r="E100" s="16">
        <v>11</v>
      </c>
      <c r="F100" s="16">
        <v>99</v>
      </c>
      <c r="G100" s="5" t="s">
        <v>2552</v>
      </c>
      <c r="H100" s="5">
        <v>4720</v>
      </c>
      <c r="I100" s="5">
        <v>0.83</v>
      </c>
      <c r="J100" s="82">
        <v>45127</v>
      </c>
      <c r="K100" s="82">
        <v>45867</v>
      </c>
      <c r="L100" s="81">
        <f t="shared" si="4"/>
        <v>24</v>
      </c>
      <c r="M100" s="5">
        <f t="shared" si="6"/>
        <v>94022.399999999994</v>
      </c>
      <c r="N100" s="5">
        <f t="shared" si="7"/>
        <v>3917.6</v>
      </c>
      <c r="O100" s="6" t="s">
        <v>359</v>
      </c>
      <c r="P100" s="5">
        <v>3325514234</v>
      </c>
      <c r="Q100" s="5" t="s">
        <v>2553</v>
      </c>
      <c r="R100" s="38"/>
    </row>
    <row r="101" spans="1:18" ht="28.8">
      <c r="A101" s="5">
        <v>100</v>
      </c>
      <c r="B101" s="5" t="s">
        <v>360</v>
      </c>
      <c r="C101" s="6" t="s">
        <v>361</v>
      </c>
      <c r="D101" s="7" t="s">
        <v>362</v>
      </c>
      <c r="E101" s="5">
        <v>12</v>
      </c>
      <c r="F101" s="5">
        <v>100</v>
      </c>
      <c r="G101" s="5" t="s">
        <v>2552</v>
      </c>
      <c r="H101" s="5">
        <v>4720</v>
      </c>
      <c r="I101" s="5">
        <v>0.83</v>
      </c>
      <c r="J101" s="82">
        <v>45127</v>
      </c>
      <c r="K101" s="82">
        <v>45867</v>
      </c>
      <c r="L101" s="81">
        <f t="shared" si="4"/>
        <v>24</v>
      </c>
      <c r="M101" s="5">
        <f t="shared" si="6"/>
        <v>94022.399999999994</v>
      </c>
      <c r="N101" s="5">
        <f t="shared" si="7"/>
        <v>3917.6</v>
      </c>
      <c r="O101" s="6" t="s">
        <v>363</v>
      </c>
      <c r="P101" s="5" t="s">
        <v>364</v>
      </c>
      <c r="Q101" s="5" t="s">
        <v>2553</v>
      </c>
      <c r="R101" s="38"/>
    </row>
    <row r="102" spans="1:18" ht="43.2">
      <c r="A102" s="5">
        <v>101</v>
      </c>
      <c r="B102" s="5" t="s">
        <v>365</v>
      </c>
      <c r="C102" s="6" t="s">
        <v>366</v>
      </c>
      <c r="D102" s="7">
        <v>4230173198983</v>
      </c>
      <c r="E102" s="5">
        <v>12</v>
      </c>
      <c r="F102" s="5">
        <v>101</v>
      </c>
      <c r="G102" s="5" t="s">
        <v>2552</v>
      </c>
      <c r="H102" s="5">
        <v>4720</v>
      </c>
      <c r="I102" s="5">
        <v>0.83</v>
      </c>
      <c r="J102" s="82">
        <v>45127</v>
      </c>
      <c r="K102" s="82">
        <v>45867</v>
      </c>
      <c r="L102" s="81">
        <f t="shared" si="4"/>
        <v>24</v>
      </c>
      <c r="M102" s="5">
        <f t="shared" si="6"/>
        <v>94022.399999999994</v>
      </c>
      <c r="N102" s="5">
        <f t="shared" si="7"/>
        <v>3917.6</v>
      </c>
      <c r="O102" s="6" t="s">
        <v>367</v>
      </c>
      <c r="P102" s="5" t="s">
        <v>368</v>
      </c>
      <c r="Q102" s="5" t="s">
        <v>2553</v>
      </c>
      <c r="R102" s="38"/>
    </row>
    <row r="103" spans="1:18" ht="28.8">
      <c r="A103" s="5">
        <v>102</v>
      </c>
      <c r="B103" s="5" t="s">
        <v>369</v>
      </c>
      <c r="C103" s="6" t="s">
        <v>370</v>
      </c>
      <c r="D103" s="7" t="s">
        <v>371</v>
      </c>
      <c r="E103" s="5">
        <v>12</v>
      </c>
      <c r="F103" s="5">
        <v>102</v>
      </c>
      <c r="G103" s="5" t="s">
        <v>2552</v>
      </c>
      <c r="H103" s="5">
        <v>4720</v>
      </c>
      <c r="I103" s="5">
        <v>0.83</v>
      </c>
      <c r="J103" s="82">
        <v>45127</v>
      </c>
      <c r="K103" s="82">
        <v>45867</v>
      </c>
      <c r="L103" s="81">
        <f t="shared" si="4"/>
        <v>24</v>
      </c>
      <c r="M103" s="5">
        <f t="shared" si="6"/>
        <v>94022.399999999994</v>
      </c>
      <c r="N103" s="5">
        <f t="shared" si="7"/>
        <v>3917.6</v>
      </c>
      <c r="O103" s="6" t="s">
        <v>372</v>
      </c>
      <c r="P103" s="5" t="s">
        <v>373</v>
      </c>
      <c r="Q103" s="5" t="s">
        <v>2553</v>
      </c>
      <c r="R103" s="38"/>
    </row>
    <row r="104" spans="1:18" ht="28.8">
      <c r="A104" s="5">
        <v>103</v>
      </c>
      <c r="B104" s="5">
        <v>71073</v>
      </c>
      <c r="C104" s="6" t="s">
        <v>374</v>
      </c>
      <c r="D104" s="7">
        <v>6110154510475</v>
      </c>
      <c r="E104" s="5">
        <v>12</v>
      </c>
      <c r="F104" s="5">
        <v>103</v>
      </c>
      <c r="G104" s="5" t="s">
        <v>2552</v>
      </c>
      <c r="H104" s="5">
        <v>4720</v>
      </c>
      <c r="I104" s="5">
        <v>0.83</v>
      </c>
      <c r="J104" s="82">
        <v>45127</v>
      </c>
      <c r="K104" s="82">
        <v>45867</v>
      </c>
      <c r="L104" s="81">
        <f t="shared" si="4"/>
        <v>24</v>
      </c>
      <c r="M104" s="5">
        <f t="shared" si="6"/>
        <v>94022.399999999994</v>
      </c>
      <c r="N104" s="5">
        <f t="shared" si="7"/>
        <v>3917.6</v>
      </c>
      <c r="O104" s="6" t="s">
        <v>375</v>
      </c>
      <c r="P104" s="5" t="s">
        <v>376</v>
      </c>
      <c r="Q104" s="5" t="s">
        <v>2553</v>
      </c>
      <c r="R104" s="38"/>
    </row>
    <row r="105" spans="1:18" ht="28.8">
      <c r="A105" s="5">
        <v>104</v>
      </c>
      <c r="B105" s="5" t="s">
        <v>377</v>
      </c>
      <c r="C105" s="6" t="s">
        <v>378</v>
      </c>
      <c r="D105" s="7" t="s">
        <v>379</v>
      </c>
      <c r="E105" s="5">
        <v>12</v>
      </c>
      <c r="F105" s="5">
        <v>104</v>
      </c>
      <c r="G105" s="5" t="s">
        <v>2552</v>
      </c>
      <c r="H105" s="5">
        <v>4720</v>
      </c>
      <c r="I105" s="5">
        <v>0.83</v>
      </c>
      <c r="J105" s="82">
        <v>45127</v>
      </c>
      <c r="K105" s="82">
        <v>45867</v>
      </c>
      <c r="L105" s="81">
        <f t="shared" si="4"/>
        <v>24</v>
      </c>
      <c r="M105" s="5">
        <f t="shared" si="6"/>
        <v>94022.399999999994</v>
      </c>
      <c r="N105" s="5">
        <f t="shared" si="7"/>
        <v>3917.6</v>
      </c>
      <c r="O105" s="6" t="s">
        <v>380</v>
      </c>
      <c r="P105" s="5" t="s">
        <v>381</v>
      </c>
      <c r="Q105" s="5" t="s">
        <v>2553</v>
      </c>
      <c r="R105" s="38"/>
    </row>
    <row r="106" spans="1:18" ht="28.8">
      <c r="A106" s="5">
        <v>105</v>
      </c>
      <c r="B106" s="5" t="s">
        <v>382</v>
      </c>
      <c r="C106" s="6" t="s">
        <v>383</v>
      </c>
      <c r="D106" s="7">
        <v>3520111761971</v>
      </c>
      <c r="E106" s="5">
        <v>12</v>
      </c>
      <c r="F106" s="5">
        <v>105</v>
      </c>
      <c r="G106" s="5" t="s">
        <v>2552</v>
      </c>
      <c r="H106" s="5">
        <v>4720</v>
      </c>
      <c r="I106" s="5">
        <v>0.83</v>
      </c>
      <c r="J106" s="82">
        <v>45127</v>
      </c>
      <c r="K106" s="82">
        <v>45867</v>
      </c>
      <c r="L106" s="81">
        <f t="shared" si="4"/>
        <v>24</v>
      </c>
      <c r="M106" s="5">
        <f t="shared" si="6"/>
        <v>94022.399999999994</v>
      </c>
      <c r="N106" s="5">
        <f t="shared" si="7"/>
        <v>3917.6</v>
      </c>
      <c r="O106" s="6" t="s">
        <v>384</v>
      </c>
      <c r="P106" s="5">
        <v>3334487810</v>
      </c>
      <c r="Q106" s="5" t="s">
        <v>2553</v>
      </c>
      <c r="R106" s="38"/>
    </row>
    <row r="107" spans="1:18" ht="28.8">
      <c r="A107" s="5">
        <v>106</v>
      </c>
      <c r="B107" s="5" t="s">
        <v>385</v>
      </c>
      <c r="C107" s="6" t="s">
        <v>386</v>
      </c>
      <c r="D107" s="7">
        <v>1730113176141</v>
      </c>
      <c r="E107" s="5">
        <v>12</v>
      </c>
      <c r="F107" s="5">
        <v>106</v>
      </c>
      <c r="G107" s="5" t="s">
        <v>2552</v>
      </c>
      <c r="H107" s="5">
        <v>4720</v>
      </c>
      <c r="I107" s="5">
        <v>0.83</v>
      </c>
      <c r="J107" s="82">
        <v>45127</v>
      </c>
      <c r="K107" s="82">
        <v>45867</v>
      </c>
      <c r="L107" s="81">
        <f t="shared" si="4"/>
        <v>24</v>
      </c>
      <c r="M107" s="5">
        <f t="shared" si="6"/>
        <v>94022.399999999994</v>
      </c>
      <c r="N107" s="5">
        <f t="shared" si="7"/>
        <v>3917.6</v>
      </c>
      <c r="O107" s="6" t="s">
        <v>387</v>
      </c>
      <c r="P107" s="5" t="s">
        <v>388</v>
      </c>
      <c r="Q107" s="5" t="s">
        <v>2553</v>
      </c>
      <c r="R107" s="38"/>
    </row>
    <row r="108" spans="1:18" ht="28.8">
      <c r="A108" s="5">
        <v>107</v>
      </c>
      <c r="B108" s="5">
        <v>71151</v>
      </c>
      <c r="C108" s="6" t="s">
        <v>389</v>
      </c>
      <c r="D108" s="7" t="s">
        <v>390</v>
      </c>
      <c r="E108" s="5">
        <v>12</v>
      </c>
      <c r="F108" s="5">
        <v>107</v>
      </c>
      <c r="G108" s="5" t="s">
        <v>2552</v>
      </c>
      <c r="H108" s="5">
        <v>4720</v>
      </c>
      <c r="I108" s="5">
        <v>0.83</v>
      </c>
      <c r="J108" s="82">
        <v>45127</v>
      </c>
      <c r="K108" s="82">
        <v>45867</v>
      </c>
      <c r="L108" s="81">
        <f t="shared" si="4"/>
        <v>24</v>
      </c>
      <c r="M108" s="5">
        <f t="shared" ref="M108:M109" si="11">N108*L108</f>
        <v>120000</v>
      </c>
      <c r="N108" s="5">
        <v>5000</v>
      </c>
      <c r="O108" s="6" t="s">
        <v>391</v>
      </c>
      <c r="P108" s="5" t="s">
        <v>392</v>
      </c>
      <c r="Q108" s="5" t="s">
        <v>2556</v>
      </c>
      <c r="R108" s="38"/>
    </row>
    <row r="109" spans="1:18" ht="28.8">
      <c r="A109" s="5">
        <v>108</v>
      </c>
      <c r="B109" s="5" t="s">
        <v>393</v>
      </c>
      <c r="C109" s="6" t="s">
        <v>394</v>
      </c>
      <c r="D109" s="7">
        <v>4230139017547</v>
      </c>
      <c r="E109" s="5">
        <v>12</v>
      </c>
      <c r="F109" s="5">
        <v>108</v>
      </c>
      <c r="G109" s="5" t="s">
        <v>2552</v>
      </c>
      <c r="H109" s="5">
        <v>4720</v>
      </c>
      <c r="I109" s="5">
        <v>0.83</v>
      </c>
      <c r="J109" s="82">
        <v>45127</v>
      </c>
      <c r="K109" s="82">
        <v>45867</v>
      </c>
      <c r="L109" s="81">
        <f t="shared" si="4"/>
        <v>24</v>
      </c>
      <c r="M109" s="5">
        <f t="shared" si="11"/>
        <v>120000</v>
      </c>
      <c r="N109" s="5">
        <v>5000</v>
      </c>
      <c r="O109" s="6" t="s">
        <v>395</v>
      </c>
      <c r="P109" s="5">
        <v>3002400023</v>
      </c>
      <c r="Q109" s="5" t="s">
        <v>2556</v>
      </c>
      <c r="R109" s="38"/>
    </row>
    <row r="110" spans="1:18" ht="43.2">
      <c r="A110" s="5">
        <v>109</v>
      </c>
      <c r="B110" s="5">
        <v>71125</v>
      </c>
      <c r="C110" s="6" t="s">
        <v>396</v>
      </c>
      <c r="D110" s="7">
        <v>3740539704951</v>
      </c>
      <c r="E110" s="5">
        <v>12</v>
      </c>
      <c r="F110" s="5">
        <v>109</v>
      </c>
      <c r="G110" s="5" t="s">
        <v>2552</v>
      </c>
      <c r="H110" s="5">
        <v>4720</v>
      </c>
      <c r="I110" s="5">
        <v>0.83</v>
      </c>
      <c r="J110" s="82">
        <v>45127</v>
      </c>
      <c r="K110" s="82">
        <v>45867</v>
      </c>
      <c r="L110" s="81">
        <f t="shared" si="4"/>
        <v>24</v>
      </c>
      <c r="M110" s="5">
        <f t="shared" si="6"/>
        <v>94022.399999999994</v>
      </c>
      <c r="N110" s="5">
        <f>M110/24</f>
        <v>3917.6</v>
      </c>
      <c r="O110" s="6" t="s">
        <v>397</v>
      </c>
      <c r="P110" s="5" t="s">
        <v>398</v>
      </c>
      <c r="Q110" s="5" t="s">
        <v>2553</v>
      </c>
      <c r="R110" s="38"/>
    </row>
    <row r="111" spans="1:18" ht="28.8">
      <c r="A111" s="5">
        <v>110</v>
      </c>
      <c r="B111" s="5">
        <v>71360</v>
      </c>
      <c r="C111" s="6" t="s">
        <v>399</v>
      </c>
      <c r="D111" s="7" t="s">
        <v>400</v>
      </c>
      <c r="E111" s="5">
        <v>12</v>
      </c>
      <c r="F111" s="5">
        <v>110</v>
      </c>
      <c r="G111" s="5" t="s">
        <v>2552</v>
      </c>
      <c r="H111" s="5">
        <v>4720</v>
      </c>
      <c r="I111" s="5">
        <v>0.83</v>
      </c>
      <c r="J111" s="82">
        <v>45127</v>
      </c>
      <c r="K111" s="82">
        <v>45867</v>
      </c>
      <c r="L111" s="81">
        <f t="shared" si="4"/>
        <v>24</v>
      </c>
      <c r="M111" s="5">
        <f t="shared" si="6"/>
        <v>94022.399999999994</v>
      </c>
      <c r="N111" s="5">
        <f t="shared" si="7"/>
        <v>3917.6</v>
      </c>
      <c r="O111" s="6" t="s">
        <v>401</v>
      </c>
      <c r="P111" s="5" t="s">
        <v>402</v>
      </c>
      <c r="Q111" s="5" t="s">
        <v>2553</v>
      </c>
      <c r="R111" s="38"/>
    </row>
    <row r="112" spans="1:18" ht="28.8">
      <c r="A112" s="5">
        <v>111</v>
      </c>
      <c r="B112" s="5" t="s">
        <v>403</v>
      </c>
      <c r="C112" s="6" t="s">
        <v>404</v>
      </c>
      <c r="D112" s="7">
        <v>6110119001351</v>
      </c>
      <c r="E112" s="5">
        <v>12</v>
      </c>
      <c r="F112" s="5">
        <v>111</v>
      </c>
      <c r="G112" s="5" t="s">
        <v>2552</v>
      </c>
      <c r="H112" s="5">
        <v>4720</v>
      </c>
      <c r="I112" s="5">
        <v>0.83</v>
      </c>
      <c r="J112" s="82">
        <v>45127</v>
      </c>
      <c r="K112" s="82">
        <v>45867</v>
      </c>
      <c r="L112" s="81">
        <f t="shared" si="4"/>
        <v>24</v>
      </c>
      <c r="M112" s="5">
        <f t="shared" si="6"/>
        <v>94022.399999999994</v>
      </c>
      <c r="N112" s="5">
        <f t="shared" si="7"/>
        <v>3917.6</v>
      </c>
      <c r="O112" s="6" t="s">
        <v>405</v>
      </c>
      <c r="P112" s="5">
        <v>3455911406</v>
      </c>
      <c r="Q112" s="5" t="s">
        <v>2553</v>
      </c>
      <c r="R112" s="38"/>
    </row>
    <row r="113" spans="1:18" ht="43.2">
      <c r="A113" s="5">
        <v>112</v>
      </c>
      <c r="B113" s="5" t="s">
        <v>2535</v>
      </c>
      <c r="C113" s="6" t="s">
        <v>2534</v>
      </c>
      <c r="D113" s="7" t="s">
        <v>2536</v>
      </c>
      <c r="E113" s="5">
        <v>12</v>
      </c>
      <c r="F113" s="5">
        <v>112</v>
      </c>
      <c r="G113" s="5" t="s">
        <v>2552</v>
      </c>
      <c r="H113" s="5">
        <v>4720</v>
      </c>
      <c r="I113" s="5">
        <v>0.83</v>
      </c>
      <c r="J113" s="82">
        <v>45127</v>
      </c>
      <c r="K113" s="82">
        <v>45867</v>
      </c>
      <c r="L113" s="81">
        <f t="shared" si="4"/>
        <v>24</v>
      </c>
      <c r="M113" s="5">
        <f t="shared" si="6"/>
        <v>94022.399999999994</v>
      </c>
      <c r="N113" s="5">
        <f t="shared" si="7"/>
        <v>3917.6</v>
      </c>
      <c r="O113" s="6" t="s">
        <v>2537</v>
      </c>
      <c r="P113" s="5" t="s">
        <v>2538</v>
      </c>
      <c r="Q113" s="5" t="s">
        <v>2553</v>
      </c>
      <c r="R113" s="38"/>
    </row>
    <row r="114" spans="1:18" ht="28.8">
      <c r="A114" s="5">
        <v>113</v>
      </c>
      <c r="B114" s="5">
        <v>71254</v>
      </c>
      <c r="C114" s="6" t="s">
        <v>406</v>
      </c>
      <c r="D114" s="7" t="s">
        <v>407</v>
      </c>
      <c r="E114" s="5">
        <v>11</v>
      </c>
      <c r="F114" s="5">
        <v>113</v>
      </c>
      <c r="G114" s="5" t="s">
        <v>2552</v>
      </c>
      <c r="H114" s="5">
        <v>4720</v>
      </c>
      <c r="I114" s="5">
        <v>0.83</v>
      </c>
      <c r="J114" s="82">
        <v>45127</v>
      </c>
      <c r="K114" s="82">
        <v>45867</v>
      </c>
      <c r="L114" s="81">
        <f t="shared" si="4"/>
        <v>24</v>
      </c>
      <c r="M114" s="5">
        <f t="shared" si="6"/>
        <v>94022.399999999994</v>
      </c>
      <c r="N114" s="5">
        <f t="shared" si="7"/>
        <v>3917.6</v>
      </c>
      <c r="O114" s="6" t="s">
        <v>408</v>
      </c>
      <c r="P114" s="5"/>
      <c r="Q114" s="5" t="s">
        <v>2553</v>
      </c>
      <c r="R114" s="38"/>
    </row>
    <row r="115" spans="1:18" ht="43.2">
      <c r="A115" s="57">
        <v>114</v>
      </c>
      <c r="B115" s="57" t="s">
        <v>409</v>
      </c>
      <c r="C115" s="66" t="s">
        <v>410</v>
      </c>
      <c r="D115" s="67" t="s">
        <v>411</v>
      </c>
      <c r="E115" s="57">
        <v>11</v>
      </c>
      <c r="F115" s="57">
        <v>114</v>
      </c>
      <c r="G115" s="57" t="s">
        <v>2552</v>
      </c>
      <c r="H115" s="5">
        <v>4720</v>
      </c>
      <c r="I115" s="5">
        <v>0.83</v>
      </c>
      <c r="J115" s="82">
        <v>45127</v>
      </c>
      <c r="K115" s="82">
        <v>45867</v>
      </c>
      <c r="L115" s="81">
        <f t="shared" si="4"/>
        <v>24</v>
      </c>
      <c r="M115" s="5">
        <f t="shared" si="6"/>
        <v>94022.399999999994</v>
      </c>
      <c r="N115" s="5">
        <f t="shared" si="7"/>
        <v>3917.6</v>
      </c>
      <c r="O115" s="66" t="s">
        <v>412</v>
      </c>
      <c r="P115" s="57" t="s">
        <v>413</v>
      </c>
      <c r="Q115" s="5" t="s">
        <v>2553</v>
      </c>
      <c r="R115" s="60"/>
    </row>
    <row r="116" spans="1:18" ht="28.8">
      <c r="A116" s="5">
        <v>115</v>
      </c>
      <c r="B116" s="5" t="s">
        <v>2384</v>
      </c>
      <c r="C116" s="6" t="s">
        <v>2383</v>
      </c>
      <c r="D116" s="7" t="s">
        <v>2385</v>
      </c>
      <c r="E116" s="5">
        <v>11</v>
      </c>
      <c r="F116" s="5">
        <v>115</v>
      </c>
      <c r="G116" s="5" t="s">
        <v>2552</v>
      </c>
      <c r="H116" s="5">
        <v>4720</v>
      </c>
      <c r="I116" s="5">
        <v>0.83</v>
      </c>
      <c r="J116" s="82">
        <v>45127</v>
      </c>
      <c r="K116" s="82">
        <v>45867</v>
      </c>
      <c r="L116" s="81">
        <f t="shared" si="4"/>
        <v>24</v>
      </c>
      <c r="M116" s="5">
        <f t="shared" si="6"/>
        <v>94022.399999999994</v>
      </c>
      <c r="N116" s="5">
        <f t="shared" si="7"/>
        <v>3917.6</v>
      </c>
      <c r="O116" s="6" t="s">
        <v>2386</v>
      </c>
      <c r="P116" s="5" t="s">
        <v>2387</v>
      </c>
      <c r="Q116" s="5" t="s">
        <v>2553</v>
      </c>
      <c r="R116" s="38"/>
    </row>
    <row r="117" spans="1:18" ht="28.8">
      <c r="A117" s="5">
        <v>116</v>
      </c>
      <c r="B117" s="5">
        <v>71199</v>
      </c>
      <c r="C117" s="6" t="s">
        <v>414</v>
      </c>
      <c r="D117" s="7" t="s">
        <v>415</v>
      </c>
      <c r="E117" s="5">
        <v>11</v>
      </c>
      <c r="F117" s="5">
        <v>116</v>
      </c>
      <c r="G117" s="5" t="s">
        <v>2552</v>
      </c>
      <c r="H117" s="5">
        <v>4720</v>
      </c>
      <c r="I117" s="5">
        <v>0.83</v>
      </c>
      <c r="J117" s="82">
        <v>45127</v>
      </c>
      <c r="K117" s="82">
        <v>45867</v>
      </c>
      <c r="L117" s="81">
        <f t="shared" si="4"/>
        <v>24</v>
      </c>
      <c r="M117" s="5">
        <f t="shared" si="6"/>
        <v>94022.399999999994</v>
      </c>
      <c r="N117" s="5">
        <f t="shared" si="7"/>
        <v>3917.6</v>
      </c>
      <c r="O117" s="6" t="s">
        <v>416</v>
      </c>
      <c r="P117" s="5" t="s">
        <v>417</v>
      </c>
      <c r="Q117" s="5" t="s">
        <v>2553</v>
      </c>
      <c r="R117" s="38"/>
    </row>
    <row r="118" spans="1:18" ht="28.8">
      <c r="A118" s="57">
        <v>117</v>
      </c>
      <c r="B118" s="57" t="s">
        <v>2523</v>
      </c>
      <c r="C118" s="66" t="s">
        <v>418</v>
      </c>
      <c r="D118" s="67" t="s">
        <v>419</v>
      </c>
      <c r="E118" s="57">
        <v>11</v>
      </c>
      <c r="F118" s="57">
        <v>117</v>
      </c>
      <c r="G118" s="57" t="s">
        <v>2552</v>
      </c>
      <c r="H118" s="5">
        <v>4720</v>
      </c>
      <c r="I118" s="5">
        <v>0.83</v>
      </c>
      <c r="J118" s="82">
        <v>45127</v>
      </c>
      <c r="K118" s="82">
        <v>45867</v>
      </c>
      <c r="L118" s="81">
        <f t="shared" si="4"/>
        <v>24</v>
      </c>
      <c r="M118" s="5">
        <f>N118*L118</f>
        <v>120000</v>
      </c>
      <c r="N118" s="5">
        <v>5000</v>
      </c>
      <c r="O118" s="66" t="s">
        <v>2529</v>
      </c>
      <c r="P118" s="57" t="s">
        <v>420</v>
      </c>
      <c r="Q118" s="5" t="s">
        <v>2556</v>
      </c>
      <c r="R118" s="60"/>
    </row>
    <row r="119" spans="1:18" ht="18">
      <c r="J119" s="5"/>
      <c r="K119" s="25"/>
      <c r="L119" s="25"/>
      <c r="M119" s="83">
        <f>SUM(M2:M118)</f>
        <v>11520172.800000019</v>
      </c>
      <c r="N119" s="83"/>
      <c r="R119" s="36"/>
    </row>
    <row r="120" spans="1:18">
      <c r="J120" s="5"/>
      <c r="K120" s="25"/>
      <c r="L120" s="25"/>
    </row>
    <row r="121" spans="1:18">
      <c r="J121" s="5"/>
      <c r="K121" s="25"/>
      <c r="L121" s="25"/>
    </row>
    <row r="122" spans="1:18">
      <c r="J122" s="5"/>
      <c r="K122" s="25"/>
      <c r="L122" s="25"/>
    </row>
    <row r="123" spans="1:18">
      <c r="J123" s="5"/>
      <c r="K123" s="25"/>
      <c r="L123" s="25"/>
    </row>
    <row r="124" spans="1:18">
      <c r="J124" s="5"/>
      <c r="K124" s="25"/>
      <c r="L124" s="25"/>
    </row>
    <row r="125" spans="1:18" ht="18">
      <c r="J125" s="5"/>
      <c r="K125" s="85"/>
      <c r="L125" s="25"/>
    </row>
    <row r="126" spans="1:18">
      <c r="J126" s="5"/>
      <c r="K126" s="25"/>
      <c r="L126" s="25"/>
    </row>
    <row r="127" spans="1:18">
      <c r="J127" s="5"/>
      <c r="K127" s="86"/>
      <c r="L127" s="25"/>
    </row>
    <row r="128" spans="1:18">
      <c r="J128" s="5"/>
      <c r="K128" s="86"/>
      <c r="L128" s="25"/>
    </row>
    <row r="129" spans="10:12">
      <c r="J129" s="5"/>
      <c r="K129" s="86"/>
      <c r="L129" s="25"/>
    </row>
    <row r="130" spans="10:12">
      <c r="J130" s="5"/>
      <c r="K130" s="86"/>
      <c r="L130" s="25"/>
    </row>
    <row r="131" spans="10:12">
      <c r="J131" s="5"/>
      <c r="K131" s="86"/>
      <c r="L131" s="25"/>
    </row>
    <row r="132" spans="10:12">
      <c r="J132" s="5"/>
      <c r="K132" s="25"/>
      <c r="L132" s="25"/>
    </row>
    <row r="133" spans="10:12">
      <c r="J133" s="5"/>
      <c r="K133" s="25"/>
      <c r="L133" s="25"/>
    </row>
    <row r="134" spans="10:12">
      <c r="J134" s="5"/>
      <c r="K134" s="25"/>
      <c r="L134" s="25"/>
    </row>
    <row r="135" spans="10:12">
      <c r="J135" s="5"/>
      <c r="K135" s="25"/>
      <c r="L135" s="25"/>
    </row>
    <row r="136" spans="10:12">
      <c r="J136" s="5"/>
      <c r="K136" s="25"/>
      <c r="L136" s="25"/>
    </row>
    <row r="137" spans="10:12">
      <c r="J137" s="5"/>
      <c r="K137" s="25"/>
      <c r="L137" s="25"/>
    </row>
    <row r="138" spans="10:12">
      <c r="J138" s="5"/>
      <c r="K138" s="25"/>
      <c r="L138" s="25"/>
    </row>
    <row r="139" spans="10:12">
      <c r="J139" s="5"/>
      <c r="K139" s="25"/>
      <c r="L139" s="25"/>
    </row>
    <row r="140" spans="10:12">
      <c r="J140" s="5"/>
      <c r="K140" s="25"/>
      <c r="L140" s="25"/>
    </row>
    <row r="141" spans="10:12">
      <c r="J141" s="5"/>
      <c r="K141" s="25"/>
      <c r="L141" s="25"/>
    </row>
    <row r="142" spans="10:12">
      <c r="J142" s="5"/>
      <c r="K142" s="25"/>
      <c r="L142" s="25"/>
    </row>
    <row r="143" spans="10:12">
      <c r="J143" s="5"/>
      <c r="K143" s="25"/>
      <c r="L143" s="25"/>
    </row>
    <row r="144" spans="10:12">
      <c r="J144" s="5"/>
      <c r="K144" s="25"/>
      <c r="L144" s="25"/>
    </row>
    <row r="145" spans="10:12">
      <c r="J145" s="5"/>
      <c r="K145" s="25"/>
      <c r="L145" s="25"/>
    </row>
    <row r="146" spans="10:12">
      <c r="J146" s="5"/>
      <c r="K146" s="25"/>
      <c r="L146" s="25"/>
    </row>
    <row r="147" spans="10:12">
      <c r="J147" s="5"/>
      <c r="K147" s="25"/>
      <c r="L147" s="25"/>
    </row>
    <row r="148" spans="10:12">
      <c r="J148" s="5"/>
      <c r="K148" s="25"/>
      <c r="L148" s="25"/>
    </row>
    <row r="149" spans="10:12">
      <c r="J149" s="5"/>
      <c r="K149" s="25"/>
      <c r="L149" s="25"/>
    </row>
    <row r="150" spans="10:12">
      <c r="J150" s="5"/>
      <c r="K150" s="25"/>
      <c r="L150" s="25"/>
    </row>
    <row r="151" spans="10:12">
      <c r="J151" s="5"/>
      <c r="K151" s="25"/>
      <c r="L151" s="25"/>
    </row>
    <row r="152" spans="10:12">
      <c r="J152" s="5"/>
      <c r="K152" s="25"/>
      <c r="L152" s="25"/>
    </row>
    <row r="153" spans="10:12">
      <c r="J153" s="5"/>
      <c r="K153" s="25"/>
      <c r="L153" s="25"/>
    </row>
    <row r="154" spans="10:12">
      <c r="J154" s="5"/>
      <c r="K154" s="25"/>
      <c r="L154" s="25"/>
    </row>
    <row r="155" spans="10:12">
      <c r="J155" s="5"/>
      <c r="K155" s="25"/>
      <c r="L155" s="25"/>
    </row>
    <row r="156" spans="10:12">
      <c r="J156" s="5"/>
      <c r="K156" s="25"/>
      <c r="L156" s="25"/>
    </row>
    <row r="157" spans="10:12">
      <c r="J157" s="5"/>
      <c r="K157" s="25"/>
      <c r="L157" s="25"/>
    </row>
    <row r="158" spans="10:12">
      <c r="J158" s="5"/>
      <c r="K158" s="25"/>
      <c r="L158" s="25"/>
    </row>
    <row r="159" spans="10:12">
      <c r="J159" s="5"/>
      <c r="K159" s="25"/>
      <c r="L159" s="25"/>
    </row>
    <row r="160" spans="10:12">
      <c r="J160" s="5"/>
      <c r="K160" s="25"/>
      <c r="L160" s="25"/>
    </row>
    <row r="161" spans="10:12">
      <c r="J161" s="5"/>
      <c r="K161" s="25"/>
      <c r="L161" s="25"/>
    </row>
    <row r="162" spans="10:12">
      <c r="J162" s="5"/>
      <c r="K162" s="25"/>
      <c r="L162" s="25"/>
    </row>
    <row r="163" spans="10:12">
      <c r="J163" s="5"/>
      <c r="K163" s="25"/>
      <c r="L163" s="25"/>
    </row>
    <row r="164" spans="10:12">
      <c r="J164" s="5"/>
      <c r="K164" s="25"/>
      <c r="L164" s="25"/>
    </row>
    <row r="165" spans="10:12">
      <c r="J165" s="5"/>
      <c r="K165" s="25"/>
      <c r="L165" s="25"/>
    </row>
    <row r="166" spans="10:12">
      <c r="J166" s="5"/>
      <c r="K166" s="25"/>
      <c r="L166" s="25"/>
    </row>
    <row r="167" spans="10:12">
      <c r="J167" s="5"/>
      <c r="K167" s="25"/>
      <c r="L167" s="25"/>
    </row>
    <row r="168" spans="10:12">
      <c r="J168" s="5"/>
      <c r="K168" s="25"/>
      <c r="L168" s="25"/>
    </row>
    <row r="169" spans="10:12">
      <c r="J169" s="5"/>
      <c r="K169" s="25"/>
      <c r="L169" s="25"/>
    </row>
    <row r="170" spans="10:12">
      <c r="J170" s="5"/>
      <c r="K170" s="25"/>
      <c r="L170" s="25"/>
    </row>
    <row r="171" spans="10:12">
      <c r="J171" s="5"/>
      <c r="K171" s="25"/>
      <c r="L171" s="25"/>
    </row>
    <row r="172" spans="10:12">
      <c r="J172" s="5"/>
      <c r="K172" s="25"/>
      <c r="L172" s="25"/>
    </row>
    <row r="173" spans="10:12">
      <c r="J173" s="5"/>
      <c r="K173" s="25"/>
      <c r="L173" s="25"/>
    </row>
    <row r="174" spans="10:12">
      <c r="J174" s="5"/>
      <c r="K174" s="25"/>
      <c r="L174" s="25"/>
    </row>
    <row r="175" spans="10:12">
      <c r="J175" s="5"/>
      <c r="K175" s="25"/>
      <c r="L175" s="25"/>
    </row>
    <row r="176" spans="10:12">
      <c r="J176" s="5"/>
      <c r="K176" s="25"/>
      <c r="L176" s="25"/>
    </row>
    <row r="177" spans="10:12">
      <c r="J177" s="5"/>
      <c r="K177" s="25"/>
      <c r="L177" s="25"/>
    </row>
    <row r="178" spans="10:12">
      <c r="J178" s="5"/>
      <c r="K178" s="25"/>
      <c r="L178" s="25"/>
    </row>
    <row r="179" spans="10:12">
      <c r="J179" s="5"/>
      <c r="K179" s="25"/>
      <c r="L179" s="25"/>
    </row>
    <row r="180" spans="10:12">
      <c r="J180" s="36"/>
      <c r="K180" s="36"/>
      <c r="L180" s="36"/>
    </row>
  </sheetData>
  <autoFilter ref="A1:R119" xr:uid="{00000000-0009-0000-0000-000000000000}">
    <filterColumn colId="16">
      <filters>
        <filter val="Grey Strucutre"/>
      </filters>
    </filterColumn>
  </autoFilter>
  <pageMargins left="0.45" right="0.2" top="0.75" bottom="0.75" header="0.3" footer="0.3"/>
  <pageSetup scale="4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80"/>
  <sheetViews>
    <sheetView topLeftCell="E1" zoomScale="85" zoomScaleNormal="85" workbookViewId="0">
      <pane ySplit="1" topLeftCell="A173" activePane="bottomLeft" state="frozen"/>
      <selection pane="bottomLeft" activeCell="K5" sqref="K5"/>
    </sheetView>
  </sheetViews>
  <sheetFormatPr defaultColWidth="9.109375" defaultRowHeight="14.4"/>
  <cols>
    <col min="1" max="1" width="5" style="25" customWidth="1"/>
    <col min="2" max="2" width="17" style="25" customWidth="1"/>
    <col min="3" max="3" width="45" style="37" customWidth="1"/>
    <col min="4" max="4" width="22.6640625" style="19" customWidth="1"/>
    <col min="5" max="5" width="18" style="8" customWidth="1"/>
    <col min="6" max="8" width="11" style="8" customWidth="1"/>
    <col min="9" max="14" width="18" style="8" customWidth="1"/>
    <col min="15" max="15" width="65.6640625" style="19" hidden="1" customWidth="1"/>
    <col min="16" max="16" width="15.44140625" style="25" customWidth="1"/>
    <col min="17" max="17" width="17.109375" style="25" customWidth="1"/>
    <col min="18" max="18" width="19" style="8" customWidth="1"/>
    <col min="19" max="20" width="8.6640625" style="8" customWidth="1"/>
    <col min="21" max="16384" width="9.109375" style="8"/>
  </cols>
  <sheetData>
    <row r="1" spans="1:18" ht="43.2">
      <c r="A1" s="1" t="s">
        <v>0</v>
      </c>
      <c r="B1" s="1" t="s">
        <v>1</v>
      </c>
      <c r="C1" s="26" t="s">
        <v>2547</v>
      </c>
      <c r="D1" s="4" t="s">
        <v>4</v>
      </c>
      <c r="E1" s="1" t="s">
        <v>2</v>
      </c>
      <c r="F1" s="1" t="s">
        <v>3</v>
      </c>
      <c r="G1" s="1" t="s">
        <v>2549</v>
      </c>
      <c r="H1" s="1" t="s">
        <v>2564</v>
      </c>
      <c r="I1" s="71" t="s">
        <v>2571</v>
      </c>
      <c r="J1" s="71" t="s">
        <v>2565</v>
      </c>
      <c r="K1" s="71" t="s">
        <v>2567</v>
      </c>
      <c r="L1" s="71" t="s">
        <v>2568</v>
      </c>
      <c r="M1" s="71" t="s">
        <v>2566</v>
      </c>
      <c r="N1" s="71" t="s">
        <v>2566</v>
      </c>
      <c r="O1" s="26" t="s">
        <v>422</v>
      </c>
      <c r="P1" s="1" t="s">
        <v>6</v>
      </c>
      <c r="Q1" s="1" t="s">
        <v>2545</v>
      </c>
      <c r="R1" s="41" t="s">
        <v>2548</v>
      </c>
    </row>
    <row r="2" spans="1:18" ht="28.8">
      <c r="A2" s="5">
        <v>1</v>
      </c>
      <c r="B2" s="5" t="s">
        <v>423</v>
      </c>
      <c r="C2" s="15" t="s">
        <v>424</v>
      </c>
      <c r="D2" s="7" t="s">
        <v>425</v>
      </c>
      <c r="E2" s="5">
        <v>13</v>
      </c>
      <c r="F2" s="5">
        <v>201</v>
      </c>
      <c r="G2" s="5" t="s">
        <v>2551</v>
      </c>
      <c r="H2" s="5">
        <v>3620</v>
      </c>
      <c r="I2" s="5">
        <v>0.83</v>
      </c>
      <c r="J2" s="82">
        <v>45127</v>
      </c>
      <c r="K2" s="82">
        <v>45867</v>
      </c>
      <c r="L2" s="81">
        <f>DATEDIF(J2,K2,"M")</f>
        <v>24</v>
      </c>
      <c r="M2" s="5">
        <f>I2*H2*L2</f>
        <v>72110.399999999994</v>
      </c>
      <c r="N2" s="5">
        <f>M2/24</f>
        <v>3004.6</v>
      </c>
      <c r="O2" s="15" t="s">
        <v>426</v>
      </c>
      <c r="P2" s="5" t="s">
        <v>427</v>
      </c>
      <c r="Q2" s="5" t="s">
        <v>2555</v>
      </c>
      <c r="R2" s="38"/>
    </row>
    <row r="3" spans="1:18" ht="129.6">
      <c r="A3" s="57">
        <v>2</v>
      </c>
      <c r="B3" s="57" t="s">
        <v>428</v>
      </c>
      <c r="C3" s="58" t="s">
        <v>429</v>
      </c>
      <c r="D3" s="59" t="s">
        <v>430</v>
      </c>
      <c r="E3" s="57">
        <v>13</v>
      </c>
      <c r="F3" s="57">
        <v>202</v>
      </c>
      <c r="G3" s="57" t="s">
        <v>2551</v>
      </c>
      <c r="H3" s="5">
        <v>3620</v>
      </c>
      <c r="I3" s="5">
        <v>0.83</v>
      </c>
      <c r="J3" s="82">
        <v>45127</v>
      </c>
      <c r="K3" s="82">
        <v>45867</v>
      </c>
      <c r="L3" s="81">
        <f t="shared" ref="L3:L66" si="0">DATEDIF(J3,K3,"M")</f>
        <v>24</v>
      </c>
      <c r="M3" s="5">
        <f t="shared" ref="M3:M66" si="1">I3*H3*L3</f>
        <v>72110.399999999994</v>
      </c>
      <c r="N3" s="5">
        <f t="shared" ref="N3:N66" si="2">M3/24</f>
        <v>3004.6</v>
      </c>
      <c r="O3" s="58" t="s">
        <v>431</v>
      </c>
      <c r="P3" s="57" t="s">
        <v>432</v>
      </c>
      <c r="Q3" s="87" t="s">
        <v>2555</v>
      </c>
      <c r="R3" s="60"/>
    </row>
    <row r="4" spans="1:18">
      <c r="A4" s="5">
        <v>3</v>
      </c>
      <c r="B4" s="5" t="s">
        <v>433</v>
      </c>
      <c r="C4" s="15" t="s">
        <v>434</v>
      </c>
      <c r="D4" s="27" t="s">
        <v>435</v>
      </c>
      <c r="E4" s="5">
        <v>13</v>
      </c>
      <c r="F4" s="5">
        <v>203</v>
      </c>
      <c r="G4" s="5" t="s">
        <v>2551</v>
      </c>
      <c r="H4" s="5">
        <v>3620</v>
      </c>
      <c r="I4" s="5">
        <v>0.83</v>
      </c>
      <c r="J4" s="82">
        <v>45127</v>
      </c>
      <c r="K4" s="82">
        <v>45867</v>
      </c>
      <c r="L4" s="81">
        <f t="shared" si="0"/>
        <v>24</v>
      </c>
      <c r="M4" s="5">
        <f t="shared" si="1"/>
        <v>72110.399999999994</v>
      </c>
      <c r="N4" s="5">
        <f t="shared" si="2"/>
        <v>3004.6</v>
      </c>
      <c r="O4" s="15" t="s">
        <v>436</v>
      </c>
      <c r="P4" s="5" t="s">
        <v>437</v>
      </c>
      <c r="Q4" s="5" t="s">
        <v>2555</v>
      </c>
      <c r="R4" s="38"/>
    </row>
    <row r="5" spans="1:18" ht="28.8">
      <c r="A5" s="5">
        <v>4</v>
      </c>
      <c r="B5" s="5" t="s">
        <v>438</v>
      </c>
      <c r="C5" s="15" t="s">
        <v>439</v>
      </c>
      <c r="D5" s="27" t="s">
        <v>440</v>
      </c>
      <c r="E5" s="5">
        <v>13</v>
      </c>
      <c r="F5" s="5">
        <v>204</v>
      </c>
      <c r="G5" s="5" t="s">
        <v>2551</v>
      </c>
      <c r="H5" s="5">
        <v>3620</v>
      </c>
      <c r="I5" s="5">
        <v>0.83</v>
      </c>
      <c r="J5" s="82">
        <v>45127</v>
      </c>
      <c r="K5" s="82">
        <v>45867</v>
      </c>
      <c r="L5" s="81">
        <f t="shared" si="0"/>
        <v>24</v>
      </c>
      <c r="M5" s="5">
        <f>I5*H5*L5</f>
        <v>72110.399999999994</v>
      </c>
      <c r="N5" s="5">
        <f t="shared" si="2"/>
        <v>3004.6</v>
      </c>
      <c r="O5" s="15" t="s">
        <v>441</v>
      </c>
      <c r="P5" s="5" t="s">
        <v>442</v>
      </c>
      <c r="Q5" s="5" t="s">
        <v>2555</v>
      </c>
      <c r="R5" s="38"/>
    </row>
    <row r="6" spans="1:18">
      <c r="A6" s="5">
        <v>5</v>
      </c>
      <c r="B6" s="5" t="s">
        <v>443</v>
      </c>
      <c r="C6" s="15" t="s">
        <v>444</v>
      </c>
      <c r="D6" s="27" t="s">
        <v>445</v>
      </c>
      <c r="E6" s="5">
        <v>13</v>
      </c>
      <c r="F6" s="5">
        <v>205</v>
      </c>
      <c r="G6" s="5" t="s">
        <v>2551</v>
      </c>
      <c r="H6" s="5">
        <v>3620</v>
      </c>
      <c r="I6" s="5">
        <v>0.83</v>
      </c>
      <c r="J6" s="82">
        <v>45127</v>
      </c>
      <c r="K6" s="82">
        <v>45867</v>
      </c>
      <c r="L6" s="81">
        <f t="shared" si="0"/>
        <v>24</v>
      </c>
      <c r="M6" s="5">
        <f t="shared" si="1"/>
        <v>72110.399999999994</v>
      </c>
      <c r="N6" s="5">
        <f t="shared" si="2"/>
        <v>3004.6</v>
      </c>
      <c r="O6" s="15" t="s">
        <v>446</v>
      </c>
      <c r="P6" s="5" t="s">
        <v>447</v>
      </c>
      <c r="Q6" s="5" t="s">
        <v>2555</v>
      </c>
      <c r="R6" s="38"/>
    </row>
    <row r="7" spans="1:18">
      <c r="A7" s="5">
        <v>6</v>
      </c>
      <c r="B7" s="5" t="s">
        <v>448</v>
      </c>
      <c r="C7" s="15" t="s">
        <v>449</v>
      </c>
      <c r="D7" s="27" t="s">
        <v>450</v>
      </c>
      <c r="E7" s="5">
        <v>13</v>
      </c>
      <c r="F7" s="5">
        <v>206</v>
      </c>
      <c r="G7" s="5" t="s">
        <v>2551</v>
      </c>
      <c r="H7" s="5">
        <v>3620</v>
      </c>
      <c r="I7" s="5">
        <v>0.83</v>
      </c>
      <c r="J7" s="82">
        <v>45127</v>
      </c>
      <c r="K7" s="82">
        <v>45867</v>
      </c>
      <c r="L7" s="81">
        <f t="shared" si="0"/>
        <v>24</v>
      </c>
      <c r="M7" s="5">
        <f t="shared" si="1"/>
        <v>72110.399999999994</v>
      </c>
      <c r="N7" s="5">
        <f t="shared" si="2"/>
        <v>3004.6</v>
      </c>
      <c r="O7" s="15" t="s">
        <v>451</v>
      </c>
      <c r="P7" s="5" t="s">
        <v>452</v>
      </c>
      <c r="Q7" s="5" t="s">
        <v>2555</v>
      </c>
      <c r="R7" s="38"/>
    </row>
    <row r="8" spans="1:18">
      <c r="A8" s="5">
        <v>7</v>
      </c>
      <c r="B8" s="5" t="s">
        <v>2540</v>
      </c>
      <c r="C8" s="15" t="s">
        <v>2539</v>
      </c>
      <c r="D8" s="27" t="s">
        <v>2541</v>
      </c>
      <c r="E8" s="5">
        <v>13</v>
      </c>
      <c r="F8" s="5">
        <v>207</v>
      </c>
      <c r="G8" s="5" t="s">
        <v>2551</v>
      </c>
      <c r="H8" s="5">
        <v>3620</v>
      </c>
      <c r="I8" s="5">
        <v>0.83</v>
      </c>
      <c r="J8" s="82">
        <v>45127</v>
      </c>
      <c r="K8" s="82">
        <v>45867</v>
      </c>
      <c r="L8" s="81">
        <f t="shared" si="0"/>
        <v>24</v>
      </c>
      <c r="M8" s="5">
        <f>N8*L8</f>
        <v>120000</v>
      </c>
      <c r="N8" s="5">
        <v>5000</v>
      </c>
      <c r="O8" s="15" t="s">
        <v>2542</v>
      </c>
      <c r="P8" s="5"/>
      <c r="Q8" s="5" t="s">
        <v>2555</v>
      </c>
      <c r="R8" s="38"/>
    </row>
    <row r="9" spans="1:18">
      <c r="A9" s="5">
        <v>8</v>
      </c>
      <c r="B9" s="5" t="s">
        <v>453</v>
      </c>
      <c r="C9" s="15" t="s">
        <v>454</v>
      </c>
      <c r="D9" s="27" t="s">
        <v>455</v>
      </c>
      <c r="E9" s="5">
        <v>13</v>
      </c>
      <c r="F9" s="5">
        <v>208</v>
      </c>
      <c r="G9" s="5" t="s">
        <v>2551</v>
      </c>
      <c r="H9" s="5">
        <v>3620</v>
      </c>
      <c r="I9" s="5">
        <v>0.83</v>
      </c>
      <c r="J9" s="82">
        <v>45127</v>
      </c>
      <c r="K9" s="82">
        <v>45867</v>
      </c>
      <c r="L9" s="81">
        <f t="shared" si="0"/>
        <v>24</v>
      </c>
      <c r="M9" s="5">
        <f>N9*L9</f>
        <v>120000</v>
      </c>
      <c r="N9" s="5">
        <v>5000</v>
      </c>
      <c r="O9" s="28" t="s">
        <v>2543</v>
      </c>
      <c r="P9" s="5" t="s">
        <v>2544</v>
      </c>
      <c r="Q9" s="5" t="s">
        <v>2557</v>
      </c>
      <c r="R9" s="38"/>
    </row>
    <row r="10" spans="1:18">
      <c r="A10" s="5">
        <v>9</v>
      </c>
      <c r="B10" s="5">
        <v>71225</v>
      </c>
      <c r="C10" s="15" t="s">
        <v>456</v>
      </c>
      <c r="D10" s="27" t="s">
        <v>457</v>
      </c>
      <c r="E10" s="5">
        <v>13</v>
      </c>
      <c r="F10" s="5">
        <v>209</v>
      </c>
      <c r="G10" s="5" t="s">
        <v>2551</v>
      </c>
      <c r="H10" s="5">
        <v>3620</v>
      </c>
      <c r="I10" s="5">
        <v>0.83</v>
      </c>
      <c r="J10" s="82">
        <v>45127</v>
      </c>
      <c r="K10" s="82">
        <v>45867</v>
      </c>
      <c r="L10" s="81">
        <f t="shared" si="0"/>
        <v>24</v>
      </c>
      <c r="M10" s="5">
        <f t="shared" si="1"/>
        <v>72110.399999999994</v>
      </c>
      <c r="N10" s="5">
        <f t="shared" si="2"/>
        <v>3004.6</v>
      </c>
      <c r="O10" s="15" t="s">
        <v>458</v>
      </c>
      <c r="P10" s="5" t="s">
        <v>459</v>
      </c>
      <c r="Q10" s="5" t="s">
        <v>2555</v>
      </c>
      <c r="R10" s="38"/>
    </row>
    <row r="11" spans="1:18" ht="28.8">
      <c r="A11" s="5">
        <v>10</v>
      </c>
      <c r="B11" s="5" t="s">
        <v>460</v>
      </c>
      <c r="C11" s="15" t="s">
        <v>461</v>
      </c>
      <c r="D11" s="27" t="s">
        <v>462</v>
      </c>
      <c r="E11" s="5">
        <v>13</v>
      </c>
      <c r="F11" s="5">
        <v>210</v>
      </c>
      <c r="G11" s="5" t="s">
        <v>2551</v>
      </c>
      <c r="H11" s="5">
        <v>3620</v>
      </c>
      <c r="I11" s="5">
        <v>0.83</v>
      </c>
      <c r="J11" s="82">
        <v>45127</v>
      </c>
      <c r="K11" s="82">
        <v>45867</v>
      </c>
      <c r="L11" s="81">
        <f t="shared" si="0"/>
        <v>24</v>
      </c>
      <c r="M11" s="5">
        <f>N11*L11</f>
        <v>120000</v>
      </c>
      <c r="N11" s="5">
        <v>5000</v>
      </c>
      <c r="O11" s="15" t="s">
        <v>463</v>
      </c>
      <c r="P11" s="5" t="s">
        <v>464</v>
      </c>
      <c r="Q11" s="5" t="s">
        <v>2557</v>
      </c>
      <c r="R11" s="38"/>
    </row>
    <row r="12" spans="1:18" ht="28.8">
      <c r="A12" s="5">
        <v>11</v>
      </c>
      <c r="B12" s="5" t="s">
        <v>465</v>
      </c>
      <c r="C12" s="15" t="s">
        <v>466</v>
      </c>
      <c r="D12" s="27" t="s">
        <v>468</v>
      </c>
      <c r="E12" s="5" t="s">
        <v>467</v>
      </c>
      <c r="F12" s="5">
        <v>211</v>
      </c>
      <c r="G12" s="5" t="s">
        <v>2551</v>
      </c>
      <c r="H12" s="5">
        <v>3620</v>
      </c>
      <c r="I12" s="5">
        <v>0.83</v>
      </c>
      <c r="J12" s="82">
        <v>45127</v>
      </c>
      <c r="K12" s="82">
        <v>45867</v>
      </c>
      <c r="L12" s="81">
        <f t="shared" si="0"/>
        <v>24</v>
      </c>
      <c r="M12" s="5">
        <f t="shared" si="1"/>
        <v>72110.399999999994</v>
      </c>
      <c r="N12" s="5">
        <f t="shared" si="2"/>
        <v>3004.6</v>
      </c>
      <c r="O12" s="15" t="s">
        <v>469</v>
      </c>
      <c r="P12" s="5" t="s">
        <v>470</v>
      </c>
      <c r="Q12" s="5" t="s">
        <v>2555</v>
      </c>
      <c r="R12" s="38"/>
    </row>
    <row r="13" spans="1:18">
      <c r="A13" s="5">
        <v>12</v>
      </c>
      <c r="B13" s="5" t="s">
        <v>471</v>
      </c>
      <c r="C13" s="15" t="s">
        <v>472</v>
      </c>
      <c r="D13" s="27" t="s">
        <v>473</v>
      </c>
      <c r="E13" s="5" t="s">
        <v>467</v>
      </c>
      <c r="F13" s="5">
        <v>212</v>
      </c>
      <c r="G13" s="5" t="s">
        <v>2551</v>
      </c>
      <c r="H13" s="5">
        <v>3620</v>
      </c>
      <c r="I13" s="5">
        <v>0.83</v>
      </c>
      <c r="J13" s="82">
        <v>45127</v>
      </c>
      <c r="K13" s="82">
        <v>45867</v>
      </c>
      <c r="L13" s="81">
        <f t="shared" si="0"/>
        <v>24</v>
      </c>
      <c r="M13" s="5">
        <f t="shared" si="1"/>
        <v>72110.399999999994</v>
      </c>
      <c r="N13" s="5">
        <f t="shared" si="2"/>
        <v>3004.6</v>
      </c>
      <c r="O13" s="15" t="s">
        <v>474</v>
      </c>
      <c r="P13" s="5" t="s">
        <v>475</v>
      </c>
      <c r="Q13" s="5" t="s">
        <v>2555</v>
      </c>
      <c r="R13" s="38"/>
    </row>
    <row r="14" spans="1:18">
      <c r="A14" s="5">
        <v>13</v>
      </c>
      <c r="B14" s="5" t="s">
        <v>476</v>
      </c>
      <c r="C14" s="15" t="s">
        <v>477</v>
      </c>
      <c r="D14" s="27" t="s">
        <v>478</v>
      </c>
      <c r="E14" s="5" t="s">
        <v>467</v>
      </c>
      <c r="F14" s="5">
        <v>213</v>
      </c>
      <c r="G14" s="5" t="s">
        <v>2551</v>
      </c>
      <c r="H14" s="5">
        <v>3620</v>
      </c>
      <c r="I14" s="5">
        <v>0.83</v>
      </c>
      <c r="J14" s="82">
        <v>45127</v>
      </c>
      <c r="K14" s="82">
        <v>45867</v>
      </c>
      <c r="L14" s="81">
        <f t="shared" si="0"/>
        <v>24</v>
      </c>
      <c r="M14" s="5">
        <f t="shared" si="1"/>
        <v>72110.399999999994</v>
      </c>
      <c r="N14" s="5">
        <f t="shared" si="2"/>
        <v>3004.6</v>
      </c>
      <c r="O14" s="15" t="s">
        <v>479</v>
      </c>
      <c r="P14" s="5" t="s">
        <v>480</v>
      </c>
      <c r="Q14" s="5" t="s">
        <v>2555</v>
      </c>
      <c r="R14" s="38"/>
    </row>
    <row r="15" spans="1:18" ht="28.8">
      <c r="A15" s="5">
        <v>14</v>
      </c>
      <c r="B15" s="5">
        <v>71350</v>
      </c>
      <c r="C15" s="15" t="s">
        <v>481</v>
      </c>
      <c r="D15" s="27" t="s">
        <v>482</v>
      </c>
      <c r="E15" s="5" t="s">
        <v>467</v>
      </c>
      <c r="F15" s="5">
        <v>214</v>
      </c>
      <c r="G15" s="5" t="s">
        <v>2551</v>
      </c>
      <c r="H15" s="5">
        <v>3620</v>
      </c>
      <c r="I15" s="5">
        <v>0.83</v>
      </c>
      <c r="J15" s="82">
        <v>45127</v>
      </c>
      <c r="K15" s="82">
        <v>45867</v>
      </c>
      <c r="L15" s="81">
        <f t="shared" si="0"/>
        <v>24</v>
      </c>
      <c r="M15" s="5">
        <f t="shared" si="1"/>
        <v>72110.399999999994</v>
      </c>
      <c r="N15" s="5">
        <f t="shared" si="2"/>
        <v>3004.6</v>
      </c>
      <c r="O15" s="15" t="s">
        <v>483</v>
      </c>
      <c r="P15" s="5" t="s">
        <v>484</v>
      </c>
      <c r="Q15" s="5" t="s">
        <v>2555</v>
      </c>
      <c r="R15" s="38"/>
    </row>
    <row r="16" spans="1:18">
      <c r="A16" s="5">
        <v>15</v>
      </c>
      <c r="B16" s="5" t="s">
        <v>2389</v>
      </c>
      <c r="C16" s="15" t="s">
        <v>2388</v>
      </c>
      <c r="D16" s="27" t="s">
        <v>2390</v>
      </c>
      <c r="E16" s="5" t="s">
        <v>467</v>
      </c>
      <c r="F16" s="5">
        <v>215</v>
      </c>
      <c r="G16" s="5" t="s">
        <v>2551</v>
      </c>
      <c r="H16" s="5">
        <v>3620</v>
      </c>
      <c r="I16" s="5">
        <v>0.83</v>
      </c>
      <c r="J16" s="82">
        <v>45127</v>
      </c>
      <c r="K16" s="82">
        <v>45867</v>
      </c>
      <c r="L16" s="81">
        <f t="shared" si="0"/>
        <v>24</v>
      </c>
      <c r="M16" s="5">
        <f>N16*L16</f>
        <v>120000</v>
      </c>
      <c r="N16" s="5">
        <v>5000</v>
      </c>
      <c r="O16" s="28" t="s">
        <v>2391</v>
      </c>
      <c r="P16" s="5" t="s">
        <v>2392</v>
      </c>
      <c r="Q16" s="5" t="s">
        <v>2554</v>
      </c>
      <c r="R16" s="38"/>
    </row>
    <row r="17" spans="1:18">
      <c r="A17" s="5">
        <v>16</v>
      </c>
      <c r="B17" s="5" t="s">
        <v>485</v>
      </c>
      <c r="C17" s="15" t="s">
        <v>486</v>
      </c>
      <c r="D17" s="27" t="s">
        <v>487</v>
      </c>
      <c r="E17" s="5" t="s">
        <v>467</v>
      </c>
      <c r="F17" s="5">
        <v>216</v>
      </c>
      <c r="G17" s="5" t="s">
        <v>2551</v>
      </c>
      <c r="H17" s="5">
        <v>3620</v>
      </c>
      <c r="I17" s="5">
        <v>0.83</v>
      </c>
      <c r="J17" s="82">
        <v>45127</v>
      </c>
      <c r="K17" s="82">
        <v>45867</v>
      </c>
      <c r="L17" s="81">
        <f t="shared" si="0"/>
        <v>24</v>
      </c>
      <c r="M17" s="5">
        <f t="shared" si="1"/>
        <v>72110.399999999994</v>
      </c>
      <c r="N17" s="5">
        <f t="shared" si="2"/>
        <v>3004.6</v>
      </c>
      <c r="O17" s="28" t="s">
        <v>488</v>
      </c>
      <c r="P17" s="5"/>
      <c r="Q17" s="5" t="s">
        <v>2555</v>
      </c>
      <c r="R17" s="38"/>
    </row>
    <row r="18" spans="1:18">
      <c r="A18" s="5">
        <v>17</v>
      </c>
      <c r="B18" s="5" t="s">
        <v>489</v>
      </c>
      <c r="C18" s="15" t="s">
        <v>490</v>
      </c>
      <c r="D18" s="27" t="s">
        <v>491</v>
      </c>
      <c r="E18" s="5" t="s">
        <v>467</v>
      </c>
      <c r="F18" s="5">
        <v>217</v>
      </c>
      <c r="G18" s="5" t="s">
        <v>2551</v>
      </c>
      <c r="H18" s="5">
        <v>3620</v>
      </c>
      <c r="I18" s="5">
        <v>0.83</v>
      </c>
      <c r="J18" s="82">
        <v>45127</v>
      </c>
      <c r="K18" s="82">
        <v>45867</v>
      </c>
      <c r="L18" s="81">
        <f t="shared" si="0"/>
        <v>24</v>
      </c>
      <c r="M18" s="5">
        <f>N18*L18</f>
        <v>120000</v>
      </c>
      <c r="N18" s="5">
        <v>5000</v>
      </c>
      <c r="O18" s="15" t="s">
        <v>492</v>
      </c>
      <c r="P18" s="5" t="s">
        <v>493</v>
      </c>
      <c r="Q18" s="5" t="s">
        <v>2554</v>
      </c>
      <c r="R18" s="38"/>
    </row>
    <row r="19" spans="1:18" ht="43.2">
      <c r="A19" s="57">
        <v>18</v>
      </c>
      <c r="B19" s="57" t="s">
        <v>494</v>
      </c>
      <c r="C19" s="58" t="s">
        <v>495</v>
      </c>
      <c r="D19" s="59" t="s">
        <v>496</v>
      </c>
      <c r="E19" s="57" t="s">
        <v>467</v>
      </c>
      <c r="F19" s="57">
        <v>218</v>
      </c>
      <c r="G19" s="57" t="s">
        <v>2551</v>
      </c>
      <c r="H19" s="5">
        <v>3620</v>
      </c>
      <c r="I19" s="5">
        <v>0.83</v>
      </c>
      <c r="J19" s="82">
        <v>45127</v>
      </c>
      <c r="K19" s="82">
        <v>45867</v>
      </c>
      <c r="L19" s="81">
        <f t="shared" si="0"/>
        <v>24</v>
      </c>
      <c r="M19" s="5">
        <f t="shared" si="1"/>
        <v>72110.399999999994</v>
      </c>
      <c r="N19" s="5">
        <f t="shared" si="2"/>
        <v>3004.6</v>
      </c>
      <c r="O19" s="58" t="s">
        <v>497</v>
      </c>
      <c r="P19" s="57" t="s">
        <v>498</v>
      </c>
      <c r="Q19" s="57" t="s">
        <v>2555</v>
      </c>
      <c r="R19" s="60"/>
    </row>
    <row r="20" spans="1:18">
      <c r="A20" s="5">
        <v>19</v>
      </c>
      <c r="B20" s="5" t="s">
        <v>499</v>
      </c>
      <c r="C20" s="15" t="s">
        <v>500</v>
      </c>
      <c r="D20" s="27" t="s">
        <v>501</v>
      </c>
      <c r="E20" s="5">
        <v>17</v>
      </c>
      <c r="F20" s="5">
        <v>219</v>
      </c>
      <c r="G20" s="5" t="s">
        <v>2551</v>
      </c>
      <c r="H20" s="5">
        <v>3620</v>
      </c>
      <c r="I20" s="5">
        <v>0.83</v>
      </c>
      <c r="J20" s="82">
        <v>45127</v>
      </c>
      <c r="K20" s="82">
        <v>45867</v>
      </c>
      <c r="L20" s="81">
        <f t="shared" si="0"/>
        <v>24</v>
      </c>
      <c r="M20" s="5">
        <f t="shared" si="1"/>
        <v>72110.399999999994</v>
      </c>
      <c r="N20" s="5">
        <f t="shared" si="2"/>
        <v>3004.6</v>
      </c>
      <c r="O20" s="15" t="s">
        <v>502</v>
      </c>
      <c r="P20" s="5" t="s">
        <v>503</v>
      </c>
      <c r="Q20" s="57" t="s">
        <v>2555</v>
      </c>
      <c r="R20" s="38"/>
    </row>
    <row r="21" spans="1:18" ht="28.8">
      <c r="A21" s="5">
        <v>20</v>
      </c>
      <c r="B21" s="5" t="s">
        <v>504</v>
      </c>
      <c r="C21" s="15" t="s">
        <v>505</v>
      </c>
      <c r="D21" s="27" t="s">
        <v>506</v>
      </c>
      <c r="E21" s="5">
        <v>17</v>
      </c>
      <c r="F21" s="5">
        <v>220</v>
      </c>
      <c r="G21" s="5" t="s">
        <v>2551</v>
      </c>
      <c r="H21" s="5">
        <v>3620</v>
      </c>
      <c r="I21" s="5">
        <v>0.83</v>
      </c>
      <c r="J21" s="82">
        <v>45127</v>
      </c>
      <c r="K21" s="82">
        <v>45867</v>
      </c>
      <c r="L21" s="81">
        <f t="shared" si="0"/>
        <v>24</v>
      </c>
      <c r="M21" s="5">
        <f t="shared" si="1"/>
        <v>72110.399999999994</v>
      </c>
      <c r="N21" s="5">
        <f t="shared" si="2"/>
        <v>3004.6</v>
      </c>
      <c r="O21" s="15" t="s">
        <v>507</v>
      </c>
      <c r="P21" s="5" t="s">
        <v>508</v>
      </c>
      <c r="Q21" s="57" t="s">
        <v>2555</v>
      </c>
      <c r="R21" s="38"/>
    </row>
    <row r="22" spans="1:18">
      <c r="A22" s="5">
        <v>21</v>
      </c>
      <c r="B22" s="5" t="s">
        <v>509</v>
      </c>
      <c r="C22" s="15" t="s">
        <v>510</v>
      </c>
      <c r="D22" s="27" t="s">
        <v>511</v>
      </c>
      <c r="E22" s="5">
        <v>17</v>
      </c>
      <c r="F22" s="5">
        <v>221</v>
      </c>
      <c r="G22" s="5" t="s">
        <v>2551</v>
      </c>
      <c r="H22" s="5">
        <v>3620</v>
      </c>
      <c r="I22" s="5">
        <v>0.83</v>
      </c>
      <c r="J22" s="82">
        <v>45127</v>
      </c>
      <c r="K22" s="82">
        <v>45867</v>
      </c>
      <c r="L22" s="81">
        <f t="shared" si="0"/>
        <v>24</v>
      </c>
      <c r="M22" s="5">
        <f t="shared" si="1"/>
        <v>72110.399999999994</v>
      </c>
      <c r="N22" s="5">
        <f t="shared" si="2"/>
        <v>3004.6</v>
      </c>
      <c r="O22" s="15" t="s">
        <v>512</v>
      </c>
      <c r="P22" s="5" t="s">
        <v>513</v>
      </c>
      <c r="Q22" s="57" t="s">
        <v>2555</v>
      </c>
      <c r="R22" s="38"/>
    </row>
    <row r="23" spans="1:18">
      <c r="A23" s="5">
        <v>22</v>
      </c>
      <c r="B23" s="5">
        <v>71308</v>
      </c>
      <c r="C23" s="15" t="s">
        <v>514</v>
      </c>
      <c r="D23" s="27" t="s">
        <v>515</v>
      </c>
      <c r="E23" s="5">
        <v>17</v>
      </c>
      <c r="F23" s="5">
        <v>222</v>
      </c>
      <c r="G23" s="5" t="s">
        <v>2551</v>
      </c>
      <c r="H23" s="5">
        <v>3620</v>
      </c>
      <c r="I23" s="5">
        <v>0.83</v>
      </c>
      <c r="J23" s="82">
        <v>45127</v>
      </c>
      <c r="K23" s="82">
        <v>45867</v>
      </c>
      <c r="L23" s="81">
        <f t="shared" si="0"/>
        <v>24</v>
      </c>
      <c r="M23" s="5">
        <f t="shared" ref="M23:M24" si="3">N23*L23</f>
        <v>120000</v>
      </c>
      <c r="N23" s="5">
        <v>5000</v>
      </c>
      <c r="O23" s="15" t="s">
        <v>516</v>
      </c>
      <c r="P23" s="5"/>
      <c r="Q23" s="5" t="s">
        <v>2557</v>
      </c>
      <c r="R23" s="38"/>
    </row>
    <row r="24" spans="1:18">
      <c r="A24" s="5">
        <v>23</v>
      </c>
      <c r="B24" s="5" t="s">
        <v>517</v>
      </c>
      <c r="C24" s="15" t="s">
        <v>518</v>
      </c>
      <c r="D24" s="27" t="s">
        <v>519</v>
      </c>
      <c r="E24" s="5">
        <v>17</v>
      </c>
      <c r="F24" s="5">
        <v>223</v>
      </c>
      <c r="G24" s="5" t="s">
        <v>2551</v>
      </c>
      <c r="H24" s="5">
        <v>3620</v>
      </c>
      <c r="I24" s="5">
        <v>0.83</v>
      </c>
      <c r="J24" s="82">
        <v>45127</v>
      </c>
      <c r="K24" s="82">
        <v>45867</v>
      </c>
      <c r="L24" s="81">
        <f t="shared" si="0"/>
        <v>24</v>
      </c>
      <c r="M24" s="5">
        <f t="shared" si="3"/>
        <v>120000</v>
      </c>
      <c r="N24" s="5">
        <v>5000</v>
      </c>
      <c r="O24" s="15" t="s">
        <v>520</v>
      </c>
      <c r="P24" s="5" t="s">
        <v>521</v>
      </c>
      <c r="Q24" s="5" t="s">
        <v>2557</v>
      </c>
      <c r="R24" s="38"/>
    </row>
    <row r="25" spans="1:18">
      <c r="A25" s="5">
        <v>24</v>
      </c>
      <c r="B25" s="5" t="s">
        <v>522</v>
      </c>
      <c r="C25" s="15" t="s">
        <v>523</v>
      </c>
      <c r="D25" s="27" t="s">
        <v>524</v>
      </c>
      <c r="E25" s="5">
        <v>17</v>
      </c>
      <c r="F25" s="5">
        <v>224</v>
      </c>
      <c r="G25" s="5" t="s">
        <v>2551</v>
      </c>
      <c r="H25" s="5">
        <v>3620</v>
      </c>
      <c r="I25" s="5">
        <v>0.83</v>
      </c>
      <c r="J25" s="82">
        <v>45127</v>
      </c>
      <c r="K25" s="82">
        <v>45867</v>
      </c>
      <c r="L25" s="81">
        <f t="shared" si="0"/>
        <v>24</v>
      </c>
      <c r="M25" s="5">
        <f t="shared" si="1"/>
        <v>72110.399999999994</v>
      </c>
      <c r="N25" s="5">
        <f t="shared" si="2"/>
        <v>3004.6</v>
      </c>
      <c r="O25" s="15" t="s">
        <v>525</v>
      </c>
      <c r="P25" s="5" t="s">
        <v>526</v>
      </c>
      <c r="Q25" s="5" t="s">
        <v>2553</v>
      </c>
      <c r="R25" s="38"/>
    </row>
    <row r="26" spans="1:18" ht="28.8">
      <c r="A26" s="5">
        <v>25</v>
      </c>
      <c r="B26" s="5">
        <v>71376</v>
      </c>
      <c r="C26" s="15" t="s">
        <v>527</v>
      </c>
      <c r="D26" s="27" t="s">
        <v>528</v>
      </c>
      <c r="E26" s="5">
        <v>17</v>
      </c>
      <c r="F26" s="5">
        <v>225</v>
      </c>
      <c r="G26" s="5" t="s">
        <v>2551</v>
      </c>
      <c r="H26" s="5">
        <v>3620</v>
      </c>
      <c r="I26" s="5">
        <v>0.83</v>
      </c>
      <c r="J26" s="82">
        <v>45127</v>
      </c>
      <c r="K26" s="82">
        <v>45867</v>
      </c>
      <c r="L26" s="81">
        <f t="shared" si="0"/>
        <v>24</v>
      </c>
      <c r="M26" s="5">
        <f t="shared" si="1"/>
        <v>72110.399999999994</v>
      </c>
      <c r="N26" s="5">
        <f t="shared" si="2"/>
        <v>3004.6</v>
      </c>
      <c r="O26" s="15" t="s">
        <v>529</v>
      </c>
      <c r="P26" s="5" t="s">
        <v>530</v>
      </c>
      <c r="Q26" s="5" t="s">
        <v>2553</v>
      </c>
      <c r="R26" s="38"/>
    </row>
    <row r="27" spans="1:18">
      <c r="A27" s="5">
        <v>26</v>
      </c>
      <c r="B27" s="5" t="s">
        <v>531</v>
      </c>
      <c r="C27" s="15" t="s">
        <v>532</v>
      </c>
      <c r="D27" s="27" t="s">
        <v>533</v>
      </c>
      <c r="E27" s="5">
        <v>17</v>
      </c>
      <c r="F27" s="5">
        <v>226</v>
      </c>
      <c r="G27" s="5" t="s">
        <v>2551</v>
      </c>
      <c r="H27" s="5">
        <v>3620</v>
      </c>
      <c r="I27" s="5">
        <v>0.83</v>
      </c>
      <c r="J27" s="82">
        <v>45127</v>
      </c>
      <c r="K27" s="82">
        <v>45867</v>
      </c>
      <c r="L27" s="81">
        <f t="shared" si="0"/>
        <v>24</v>
      </c>
      <c r="M27" s="5">
        <f t="shared" si="1"/>
        <v>72110.399999999994</v>
      </c>
      <c r="N27" s="5">
        <f t="shared" si="2"/>
        <v>3004.6</v>
      </c>
      <c r="O27" s="28" t="s">
        <v>534</v>
      </c>
      <c r="P27" s="5" t="s">
        <v>535</v>
      </c>
      <c r="Q27" s="5" t="s">
        <v>2553</v>
      </c>
      <c r="R27" s="38"/>
    </row>
    <row r="28" spans="1:18">
      <c r="A28" s="5">
        <v>27</v>
      </c>
      <c r="B28" s="5">
        <v>71232</v>
      </c>
      <c r="C28" s="15" t="s">
        <v>536</v>
      </c>
      <c r="D28" s="27" t="s">
        <v>537</v>
      </c>
      <c r="E28" s="5">
        <v>17</v>
      </c>
      <c r="F28" s="5">
        <v>227</v>
      </c>
      <c r="G28" s="5" t="s">
        <v>2551</v>
      </c>
      <c r="H28" s="5">
        <v>3620</v>
      </c>
      <c r="I28" s="5">
        <v>0.83</v>
      </c>
      <c r="J28" s="82">
        <v>45127</v>
      </c>
      <c r="K28" s="82">
        <v>45867</v>
      </c>
      <c r="L28" s="81">
        <f t="shared" si="0"/>
        <v>24</v>
      </c>
      <c r="M28" s="5">
        <f t="shared" si="1"/>
        <v>72110.399999999994</v>
      </c>
      <c r="N28" s="5">
        <f t="shared" si="2"/>
        <v>3004.6</v>
      </c>
      <c r="O28" s="15" t="s">
        <v>538</v>
      </c>
      <c r="P28" s="5" t="s">
        <v>539</v>
      </c>
      <c r="Q28" s="5" t="s">
        <v>2553</v>
      </c>
      <c r="R28" s="38"/>
    </row>
    <row r="29" spans="1:18">
      <c r="A29" s="5">
        <v>28</v>
      </c>
      <c r="B29" s="5">
        <v>71085</v>
      </c>
      <c r="C29" s="15" t="s">
        <v>540</v>
      </c>
      <c r="D29" s="27" t="s">
        <v>541</v>
      </c>
      <c r="E29" s="5">
        <v>17</v>
      </c>
      <c r="F29" s="5">
        <v>228</v>
      </c>
      <c r="G29" s="5" t="s">
        <v>2551</v>
      </c>
      <c r="H29" s="5">
        <v>3620</v>
      </c>
      <c r="I29" s="5">
        <v>0.83</v>
      </c>
      <c r="J29" s="82">
        <v>45127</v>
      </c>
      <c r="K29" s="82">
        <v>45867</v>
      </c>
      <c r="L29" s="81">
        <f t="shared" si="0"/>
        <v>24</v>
      </c>
      <c r="M29" s="5">
        <f>N29*L29</f>
        <v>120000</v>
      </c>
      <c r="N29" s="5">
        <v>5000</v>
      </c>
      <c r="O29" s="15" t="s">
        <v>542</v>
      </c>
      <c r="P29" s="5" t="s">
        <v>543</v>
      </c>
      <c r="Q29" s="5" t="s">
        <v>2557</v>
      </c>
      <c r="R29" s="38"/>
    </row>
    <row r="30" spans="1:18">
      <c r="A30" s="5">
        <v>29</v>
      </c>
      <c r="B30" s="5" t="s">
        <v>544</v>
      </c>
      <c r="C30" s="15" t="s">
        <v>545</v>
      </c>
      <c r="D30" s="27" t="s">
        <v>546</v>
      </c>
      <c r="E30" s="5">
        <v>17</v>
      </c>
      <c r="F30" s="5">
        <v>229</v>
      </c>
      <c r="G30" s="5" t="s">
        <v>2551</v>
      </c>
      <c r="H30" s="5">
        <v>3620</v>
      </c>
      <c r="I30" s="5">
        <v>0.83</v>
      </c>
      <c r="J30" s="82">
        <v>45127</v>
      </c>
      <c r="K30" s="82">
        <v>45867</v>
      </c>
      <c r="L30" s="81">
        <f t="shared" si="0"/>
        <v>24</v>
      </c>
      <c r="M30" s="5">
        <f t="shared" si="1"/>
        <v>72110.399999999994</v>
      </c>
      <c r="N30" s="5">
        <f t="shared" si="2"/>
        <v>3004.6</v>
      </c>
      <c r="O30" s="15" t="s">
        <v>547</v>
      </c>
      <c r="P30" s="5" t="s">
        <v>548</v>
      </c>
      <c r="Q30" s="5" t="s">
        <v>2555</v>
      </c>
      <c r="R30" s="38"/>
    </row>
    <row r="31" spans="1:18">
      <c r="A31" s="5">
        <v>30</v>
      </c>
      <c r="B31" s="5" t="s">
        <v>549</v>
      </c>
      <c r="C31" s="15" t="s">
        <v>550</v>
      </c>
      <c r="D31" s="27" t="s">
        <v>551</v>
      </c>
      <c r="E31" s="5">
        <v>17</v>
      </c>
      <c r="F31" s="5">
        <v>230</v>
      </c>
      <c r="G31" s="5" t="s">
        <v>2551</v>
      </c>
      <c r="H31" s="5">
        <v>3620</v>
      </c>
      <c r="I31" s="5">
        <v>0.83</v>
      </c>
      <c r="J31" s="82">
        <v>45127</v>
      </c>
      <c r="K31" s="82">
        <v>45867</v>
      </c>
      <c r="L31" s="81">
        <f t="shared" si="0"/>
        <v>24</v>
      </c>
      <c r="M31" s="5">
        <f>N31*L31</f>
        <v>120000</v>
      </c>
      <c r="N31" s="5">
        <v>5000</v>
      </c>
      <c r="O31" s="15" t="s">
        <v>552</v>
      </c>
      <c r="P31" s="5" t="s">
        <v>553</v>
      </c>
      <c r="Q31" s="5" t="s">
        <v>2557</v>
      </c>
      <c r="R31" s="38"/>
    </row>
    <row r="32" spans="1:18">
      <c r="A32" s="5">
        <v>31</v>
      </c>
      <c r="B32" s="5" t="s">
        <v>554</v>
      </c>
      <c r="C32" s="15" t="s">
        <v>555</v>
      </c>
      <c r="D32" s="27" t="s">
        <v>556</v>
      </c>
      <c r="E32" s="5">
        <v>17</v>
      </c>
      <c r="F32" s="5">
        <v>231</v>
      </c>
      <c r="G32" s="5" t="s">
        <v>2551</v>
      </c>
      <c r="H32" s="5">
        <v>3620</v>
      </c>
      <c r="I32" s="5">
        <v>0.83</v>
      </c>
      <c r="J32" s="82">
        <v>45127</v>
      </c>
      <c r="K32" s="82">
        <v>45867</v>
      </c>
      <c r="L32" s="81">
        <f t="shared" si="0"/>
        <v>24</v>
      </c>
      <c r="M32" s="5">
        <f t="shared" si="1"/>
        <v>72110.399999999994</v>
      </c>
      <c r="N32" s="5">
        <f t="shared" si="2"/>
        <v>3004.6</v>
      </c>
      <c r="O32" s="15" t="s">
        <v>557</v>
      </c>
      <c r="P32" s="5" t="s">
        <v>558</v>
      </c>
      <c r="Q32" s="5" t="s">
        <v>2555</v>
      </c>
      <c r="R32" s="38"/>
    </row>
    <row r="33" spans="1:18" ht="43.2">
      <c r="A33" s="5">
        <v>32</v>
      </c>
      <c r="B33" s="5" t="s">
        <v>559</v>
      </c>
      <c r="C33" s="15" t="s">
        <v>560</v>
      </c>
      <c r="D33" s="27" t="s">
        <v>561</v>
      </c>
      <c r="E33" s="5">
        <v>17</v>
      </c>
      <c r="F33" s="5">
        <v>232</v>
      </c>
      <c r="G33" s="5" t="s">
        <v>2551</v>
      </c>
      <c r="H33" s="5">
        <v>3620</v>
      </c>
      <c r="I33" s="5">
        <v>0.83</v>
      </c>
      <c r="J33" s="82">
        <v>45127</v>
      </c>
      <c r="K33" s="82">
        <v>45867</v>
      </c>
      <c r="L33" s="81">
        <f t="shared" si="0"/>
        <v>24</v>
      </c>
      <c r="M33" s="5">
        <f t="shared" si="1"/>
        <v>72110.399999999994</v>
      </c>
      <c r="N33" s="5">
        <f t="shared" si="2"/>
        <v>3004.6</v>
      </c>
      <c r="O33" s="15" t="s">
        <v>562</v>
      </c>
      <c r="P33" s="5" t="s">
        <v>563</v>
      </c>
      <c r="Q33" s="5" t="s">
        <v>2553</v>
      </c>
      <c r="R33" s="38"/>
    </row>
    <row r="34" spans="1:18" ht="57.6">
      <c r="A34" s="57">
        <v>33</v>
      </c>
      <c r="B34" s="57">
        <v>71335</v>
      </c>
      <c r="C34" s="58" t="s">
        <v>2402</v>
      </c>
      <c r="D34" s="61" t="s">
        <v>2403</v>
      </c>
      <c r="E34" s="57">
        <v>17</v>
      </c>
      <c r="F34" s="57">
        <v>233</v>
      </c>
      <c r="G34" s="57" t="s">
        <v>2551</v>
      </c>
      <c r="H34" s="5">
        <v>3620</v>
      </c>
      <c r="I34" s="5">
        <v>0.83</v>
      </c>
      <c r="J34" s="82">
        <v>45127</v>
      </c>
      <c r="K34" s="82">
        <v>45867</v>
      </c>
      <c r="L34" s="81">
        <f t="shared" si="0"/>
        <v>24</v>
      </c>
      <c r="M34" s="5">
        <f t="shared" si="1"/>
        <v>72110.399999999994</v>
      </c>
      <c r="N34" s="5">
        <f t="shared" si="2"/>
        <v>3004.6</v>
      </c>
      <c r="O34" s="58" t="s">
        <v>564</v>
      </c>
      <c r="P34" s="57" t="s">
        <v>565</v>
      </c>
      <c r="Q34" s="5" t="s">
        <v>2553</v>
      </c>
      <c r="R34" s="60"/>
    </row>
    <row r="35" spans="1:18">
      <c r="A35" s="5">
        <v>34</v>
      </c>
      <c r="B35" s="5" t="s">
        <v>566</v>
      </c>
      <c r="C35" s="15" t="s">
        <v>567</v>
      </c>
      <c r="D35" s="27" t="s">
        <v>568</v>
      </c>
      <c r="E35" s="5">
        <v>17</v>
      </c>
      <c r="F35" s="5">
        <v>234</v>
      </c>
      <c r="G35" s="5" t="s">
        <v>2551</v>
      </c>
      <c r="H35" s="5">
        <v>3620</v>
      </c>
      <c r="I35" s="5">
        <v>0.83</v>
      </c>
      <c r="J35" s="82">
        <v>45127</v>
      </c>
      <c r="K35" s="82">
        <v>45867</v>
      </c>
      <c r="L35" s="81">
        <f t="shared" si="0"/>
        <v>24</v>
      </c>
      <c r="M35" s="5">
        <f t="shared" si="1"/>
        <v>72110.399999999994</v>
      </c>
      <c r="N35" s="5">
        <f t="shared" si="2"/>
        <v>3004.6</v>
      </c>
      <c r="O35" s="15" t="s">
        <v>569</v>
      </c>
      <c r="P35" s="5" t="s">
        <v>570</v>
      </c>
      <c r="Q35" s="5" t="s">
        <v>2553</v>
      </c>
      <c r="R35" s="38"/>
    </row>
    <row r="36" spans="1:18">
      <c r="A36" s="5">
        <v>35</v>
      </c>
      <c r="B36" s="5">
        <v>71231</v>
      </c>
      <c r="C36" s="15" t="s">
        <v>571</v>
      </c>
      <c r="D36" s="27" t="s">
        <v>572</v>
      </c>
      <c r="E36" s="5">
        <v>18</v>
      </c>
      <c r="F36" s="5">
        <v>235</v>
      </c>
      <c r="G36" s="5" t="s">
        <v>2551</v>
      </c>
      <c r="H36" s="5">
        <v>3620</v>
      </c>
      <c r="I36" s="5">
        <v>0.83</v>
      </c>
      <c r="J36" s="82">
        <v>45127</v>
      </c>
      <c r="K36" s="82">
        <v>45867</v>
      </c>
      <c r="L36" s="81">
        <f t="shared" si="0"/>
        <v>24</v>
      </c>
      <c r="M36" s="5">
        <f t="shared" si="1"/>
        <v>72110.399999999994</v>
      </c>
      <c r="N36" s="5">
        <f t="shared" si="2"/>
        <v>3004.6</v>
      </c>
      <c r="O36" s="15" t="s">
        <v>573</v>
      </c>
      <c r="P36" s="5" t="s">
        <v>574</v>
      </c>
      <c r="Q36" s="5" t="s">
        <v>2553</v>
      </c>
      <c r="R36" s="38"/>
    </row>
    <row r="37" spans="1:18">
      <c r="A37" s="5">
        <v>36</v>
      </c>
      <c r="B37" s="5">
        <v>71280</v>
      </c>
      <c r="C37" s="15" t="s">
        <v>575</v>
      </c>
      <c r="D37" s="27" t="s">
        <v>576</v>
      </c>
      <c r="E37" s="5">
        <v>18</v>
      </c>
      <c r="F37" s="5">
        <v>236</v>
      </c>
      <c r="G37" s="5" t="s">
        <v>2551</v>
      </c>
      <c r="H37" s="5">
        <v>3620</v>
      </c>
      <c r="I37" s="5">
        <v>0.83</v>
      </c>
      <c r="J37" s="82">
        <v>45127</v>
      </c>
      <c r="K37" s="82">
        <v>45867</v>
      </c>
      <c r="L37" s="81">
        <f t="shared" si="0"/>
        <v>24</v>
      </c>
      <c r="M37" s="5">
        <f t="shared" si="1"/>
        <v>72110.399999999994</v>
      </c>
      <c r="N37" s="5">
        <f t="shared" si="2"/>
        <v>3004.6</v>
      </c>
      <c r="O37" s="15" t="s">
        <v>577</v>
      </c>
      <c r="P37" s="5" t="s">
        <v>578</v>
      </c>
      <c r="Q37" s="5" t="s">
        <v>2553</v>
      </c>
      <c r="R37" s="38"/>
    </row>
    <row r="38" spans="1:18" ht="28.8">
      <c r="A38" s="5">
        <v>37</v>
      </c>
      <c r="B38" s="5" t="s">
        <v>2485</v>
      </c>
      <c r="C38" s="15" t="s">
        <v>2484</v>
      </c>
      <c r="D38" s="27" t="s">
        <v>2486</v>
      </c>
      <c r="E38" s="5">
        <v>18</v>
      </c>
      <c r="F38" s="5">
        <v>237</v>
      </c>
      <c r="G38" s="5" t="s">
        <v>2551</v>
      </c>
      <c r="H38" s="5">
        <v>3620</v>
      </c>
      <c r="I38" s="5">
        <v>0.83</v>
      </c>
      <c r="J38" s="82">
        <v>45127</v>
      </c>
      <c r="K38" s="82">
        <v>45867</v>
      </c>
      <c r="L38" s="81">
        <f t="shared" si="0"/>
        <v>24</v>
      </c>
      <c r="M38" s="5">
        <f>N38*L38</f>
        <v>120000</v>
      </c>
      <c r="N38" s="5">
        <v>5000</v>
      </c>
      <c r="O38" s="28" t="s">
        <v>2500</v>
      </c>
      <c r="P38" s="5" t="s">
        <v>2487</v>
      </c>
      <c r="Q38" s="5" t="s">
        <v>2557</v>
      </c>
      <c r="R38" s="38"/>
    </row>
    <row r="39" spans="1:18">
      <c r="A39" s="5">
        <v>38</v>
      </c>
      <c r="B39" s="5" t="s">
        <v>579</v>
      </c>
      <c r="C39" s="15" t="s">
        <v>580</v>
      </c>
      <c r="D39" s="27" t="s">
        <v>581</v>
      </c>
      <c r="E39" s="5">
        <v>18</v>
      </c>
      <c r="F39" s="5">
        <v>238</v>
      </c>
      <c r="G39" s="5" t="s">
        <v>2551</v>
      </c>
      <c r="H39" s="5">
        <v>3620</v>
      </c>
      <c r="I39" s="5">
        <v>0.83</v>
      </c>
      <c r="J39" s="82">
        <v>45127</v>
      </c>
      <c r="K39" s="82">
        <v>45867</v>
      </c>
      <c r="L39" s="81">
        <f t="shared" si="0"/>
        <v>24</v>
      </c>
      <c r="M39" s="5">
        <f t="shared" si="1"/>
        <v>72110.399999999994</v>
      </c>
      <c r="N39" s="5">
        <f t="shared" si="2"/>
        <v>3004.6</v>
      </c>
      <c r="O39" s="15" t="s">
        <v>582</v>
      </c>
      <c r="P39" s="5" t="s">
        <v>583</v>
      </c>
      <c r="Q39" s="5" t="s">
        <v>2553</v>
      </c>
      <c r="R39" s="38"/>
    </row>
    <row r="40" spans="1:18">
      <c r="A40" s="5">
        <v>39</v>
      </c>
      <c r="B40" s="5" t="s">
        <v>584</v>
      </c>
      <c r="C40" s="15" t="s">
        <v>585</v>
      </c>
      <c r="D40" s="27" t="s">
        <v>586</v>
      </c>
      <c r="E40" s="5">
        <v>18</v>
      </c>
      <c r="F40" s="5">
        <v>239</v>
      </c>
      <c r="G40" s="5" t="s">
        <v>2551</v>
      </c>
      <c r="H40" s="5">
        <v>3620</v>
      </c>
      <c r="I40" s="5">
        <v>0.83</v>
      </c>
      <c r="J40" s="82">
        <v>45127</v>
      </c>
      <c r="K40" s="82">
        <v>45867</v>
      </c>
      <c r="L40" s="81">
        <f t="shared" si="0"/>
        <v>24</v>
      </c>
      <c r="M40" s="5">
        <f t="shared" si="1"/>
        <v>72110.399999999994</v>
      </c>
      <c r="N40" s="5">
        <f t="shared" si="2"/>
        <v>3004.6</v>
      </c>
      <c r="O40" s="28" t="s">
        <v>587</v>
      </c>
      <c r="P40" s="5" t="s">
        <v>588</v>
      </c>
      <c r="Q40" s="5" t="s">
        <v>2553</v>
      </c>
      <c r="R40" s="38"/>
    </row>
    <row r="41" spans="1:18">
      <c r="A41" s="5">
        <v>40</v>
      </c>
      <c r="B41" s="5">
        <v>71338</v>
      </c>
      <c r="C41" s="15" t="s">
        <v>589</v>
      </c>
      <c r="D41" s="27" t="s">
        <v>590</v>
      </c>
      <c r="E41" s="5">
        <v>18</v>
      </c>
      <c r="F41" s="5">
        <v>240</v>
      </c>
      <c r="G41" s="5" t="s">
        <v>2551</v>
      </c>
      <c r="H41" s="5">
        <v>3620</v>
      </c>
      <c r="I41" s="5">
        <v>0.83</v>
      </c>
      <c r="J41" s="82">
        <v>45127</v>
      </c>
      <c r="K41" s="82">
        <v>45867</v>
      </c>
      <c r="L41" s="81">
        <f t="shared" si="0"/>
        <v>24</v>
      </c>
      <c r="M41" s="5">
        <f t="shared" si="1"/>
        <v>72110.399999999994</v>
      </c>
      <c r="N41" s="5">
        <f t="shared" si="2"/>
        <v>3004.6</v>
      </c>
      <c r="O41" s="15" t="s">
        <v>591</v>
      </c>
      <c r="P41" s="5" t="s">
        <v>592</v>
      </c>
      <c r="Q41" s="5" t="s">
        <v>2553</v>
      </c>
      <c r="R41" s="38"/>
    </row>
    <row r="42" spans="1:18" ht="28.8">
      <c r="A42" s="5">
        <v>41</v>
      </c>
      <c r="B42" s="5">
        <v>71011</v>
      </c>
      <c r="C42" s="15" t="s">
        <v>593</v>
      </c>
      <c r="D42" s="27" t="s">
        <v>594</v>
      </c>
      <c r="E42" s="5">
        <v>18</v>
      </c>
      <c r="F42" s="5">
        <v>241</v>
      </c>
      <c r="G42" s="5" t="s">
        <v>2551</v>
      </c>
      <c r="H42" s="5">
        <v>3620</v>
      </c>
      <c r="I42" s="5">
        <v>0.83</v>
      </c>
      <c r="J42" s="82">
        <v>45127</v>
      </c>
      <c r="K42" s="82">
        <v>45867</v>
      </c>
      <c r="L42" s="81">
        <f t="shared" si="0"/>
        <v>24</v>
      </c>
      <c r="M42" s="5">
        <f t="shared" si="1"/>
        <v>72110.399999999994</v>
      </c>
      <c r="N42" s="5">
        <f t="shared" si="2"/>
        <v>3004.6</v>
      </c>
      <c r="O42" s="15" t="s">
        <v>595</v>
      </c>
      <c r="P42" s="5" t="s">
        <v>596</v>
      </c>
      <c r="Q42" s="5" t="s">
        <v>2553</v>
      </c>
      <c r="R42" s="38"/>
    </row>
    <row r="43" spans="1:18">
      <c r="A43" s="5">
        <v>42</v>
      </c>
      <c r="B43" s="5" t="s">
        <v>597</v>
      </c>
      <c r="C43" s="15" t="s">
        <v>598</v>
      </c>
      <c r="D43" s="27" t="s">
        <v>599</v>
      </c>
      <c r="E43" s="5">
        <v>18</v>
      </c>
      <c r="F43" s="5">
        <v>242</v>
      </c>
      <c r="G43" s="5" t="s">
        <v>2551</v>
      </c>
      <c r="H43" s="5">
        <v>3620</v>
      </c>
      <c r="I43" s="5">
        <v>0.83</v>
      </c>
      <c r="J43" s="82">
        <v>45127</v>
      </c>
      <c r="K43" s="82">
        <v>45867</v>
      </c>
      <c r="L43" s="81">
        <f t="shared" si="0"/>
        <v>24</v>
      </c>
      <c r="M43" s="5">
        <f t="shared" si="1"/>
        <v>72110.399999999994</v>
      </c>
      <c r="N43" s="5">
        <f t="shared" si="2"/>
        <v>3004.6</v>
      </c>
      <c r="O43" s="15" t="s">
        <v>600</v>
      </c>
      <c r="P43" s="5" t="s">
        <v>601</v>
      </c>
      <c r="Q43" s="5" t="s">
        <v>2553</v>
      </c>
      <c r="R43" s="38"/>
    </row>
    <row r="44" spans="1:18">
      <c r="A44" s="5">
        <v>43</v>
      </c>
      <c r="B44" s="5" t="s">
        <v>602</v>
      </c>
      <c r="C44" s="15" t="s">
        <v>603</v>
      </c>
      <c r="D44" s="27" t="s">
        <v>604</v>
      </c>
      <c r="E44" s="5">
        <v>16</v>
      </c>
      <c r="F44" s="5">
        <v>243</v>
      </c>
      <c r="G44" s="5" t="s">
        <v>2551</v>
      </c>
      <c r="H44" s="5">
        <v>3620</v>
      </c>
      <c r="I44" s="5">
        <v>0.83</v>
      </c>
      <c r="J44" s="82">
        <v>45127</v>
      </c>
      <c r="K44" s="82">
        <v>45867</v>
      </c>
      <c r="L44" s="81">
        <f t="shared" si="0"/>
        <v>24</v>
      </c>
      <c r="M44" s="5">
        <f t="shared" si="1"/>
        <v>72110.399999999994</v>
      </c>
      <c r="N44" s="5">
        <f t="shared" si="2"/>
        <v>3004.6</v>
      </c>
      <c r="O44" s="15" t="s">
        <v>605</v>
      </c>
      <c r="P44" s="5" t="s">
        <v>606</v>
      </c>
      <c r="Q44" s="5" t="s">
        <v>2553</v>
      </c>
      <c r="R44" s="38"/>
    </row>
    <row r="45" spans="1:18" ht="28.8">
      <c r="A45" s="5">
        <v>44</v>
      </c>
      <c r="B45" s="5" t="s">
        <v>607</v>
      </c>
      <c r="C45" s="15" t="s">
        <v>608</v>
      </c>
      <c r="D45" s="27" t="s">
        <v>609</v>
      </c>
      <c r="E45" s="5">
        <v>16</v>
      </c>
      <c r="F45" s="5">
        <v>244</v>
      </c>
      <c r="G45" s="5" t="s">
        <v>2551</v>
      </c>
      <c r="H45" s="5">
        <v>3620</v>
      </c>
      <c r="I45" s="5">
        <v>0.83</v>
      </c>
      <c r="J45" s="82">
        <v>45127</v>
      </c>
      <c r="K45" s="82">
        <v>45867</v>
      </c>
      <c r="L45" s="81">
        <f t="shared" si="0"/>
        <v>24</v>
      </c>
      <c r="M45" s="5">
        <f t="shared" si="1"/>
        <v>72110.399999999994</v>
      </c>
      <c r="N45" s="5">
        <f t="shared" si="2"/>
        <v>3004.6</v>
      </c>
      <c r="O45" s="15" t="s">
        <v>610</v>
      </c>
      <c r="P45" s="29">
        <v>5491156953300</v>
      </c>
      <c r="Q45" s="5" t="s">
        <v>2553</v>
      </c>
      <c r="R45" s="38"/>
    </row>
    <row r="46" spans="1:18" ht="28.8">
      <c r="A46" s="5">
        <v>45</v>
      </c>
      <c r="B46" s="5" t="s">
        <v>611</v>
      </c>
      <c r="C46" s="15" t="s">
        <v>612</v>
      </c>
      <c r="D46" s="27" t="s">
        <v>613</v>
      </c>
      <c r="E46" s="5">
        <v>16</v>
      </c>
      <c r="F46" s="5">
        <v>245</v>
      </c>
      <c r="G46" s="5" t="s">
        <v>2551</v>
      </c>
      <c r="H46" s="5">
        <v>3620</v>
      </c>
      <c r="I46" s="5">
        <v>0.83</v>
      </c>
      <c r="J46" s="82">
        <v>45127</v>
      </c>
      <c r="K46" s="82">
        <v>45867</v>
      </c>
      <c r="L46" s="81">
        <f t="shared" si="0"/>
        <v>24</v>
      </c>
      <c r="M46" s="5">
        <f t="shared" si="1"/>
        <v>72110.399999999994</v>
      </c>
      <c r="N46" s="5">
        <f t="shared" si="2"/>
        <v>3004.6</v>
      </c>
      <c r="O46" s="28" t="s">
        <v>614</v>
      </c>
      <c r="P46" s="5" t="s">
        <v>615</v>
      </c>
      <c r="Q46" s="5" t="s">
        <v>2553</v>
      </c>
      <c r="R46" s="38"/>
    </row>
    <row r="47" spans="1:18" ht="28.8">
      <c r="A47" s="5">
        <v>46</v>
      </c>
      <c r="B47" s="5" t="s">
        <v>616</v>
      </c>
      <c r="C47" s="15" t="s">
        <v>617</v>
      </c>
      <c r="D47" s="27" t="s">
        <v>618</v>
      </c>
      <c r="E47" s="5">
        <v>16</v>
      </c>
      <c r="F47" s="5">
        <v>246</v>
      </c>
      <c r="G47" s="5" t="s">
        <v>2551</v>
      </c>
      <c r="H47" s="5">
        <v>3620</v>
      </c>
      <c r="I47" s="5">
        <v>0.83</v>
      </c>
      <c r="J47" s="82">
        <v>45127</v>
      </c>
      <c r="K47" s="82">
        <v>45867</v>
      </c>
      <c r="L47" s="81">
        <f t="shared" si="0"/>
        <v>24</v>
      </c>
      <c r="M47" s="5">
        <f t="shared" si="1"/>
        <v>72110.399999999994</v>
      </c>
      <c r="N47" s="5">
        <f t="shared" si="2"/>
        <v>3004.6</v>
      </c>
      <c r="O47" s="28" t="s">
        <v>619</v>
      </c>
      <c r="P47" s="5" t="s">
        <v>620</v>
      </c>
      <c r="Q47" s="5" t="s">
        <v>2553</v>
      </c>
      <c r="R47" s="38"/>
    </row>
    <row r="48" spans="1:18">
      <c r="A48" s="5">
        <v>47</v>
      </c>
      <c r="B48" s="5">
        <v>71136</v>
      </c>
      <c r="C48" s="15" t="s">
        <v>621</v>
      </c>
      <c r="D48" s="27" t="s">
        <v>622</v>
      </c>
      <c r="E48" s="5">
        <v>16</v>
      </c>
      <c r="F48" s="5">
        <v>247</v>
      </c>
      <c r="G48" s="5" t="s">
        <v>2551</v>
      </c>
      <c r="H48" s="5">
        <v>3620</v>
      </c>
      <c r="I48" s="5">
        <v>0.83</v>
      </c>
      <c r="J48" s="82">
        <v>45127</v>
      </c>
      <c r="K48" s="82">
        <v>45867</v>
      </c>
      <c r="L48" s="81">
        <f t="shared" si="0"/>
        <v>24</v>
      </c>
      <c r="M48" s="5">
        <f t="shared" si="1"/>
        <v>72110.399999999994</v>
      </c>
      <c r="N48" s="5">
        <f t="shared" si="2"/>
        <v>3004.6</v>
      </c>
      <c r="O48" s="15" t="s">
        <v>623</v>
      </c>
      <c r="P48" s="5" t="s">
        <v>624</v>
      </c>
      <c r="Q48" s="5" t="s">
        <v>2553</v>
      </c>
      <c r="R48" s="38"/>
    </row>
    <row r="49" spans="1:18">
      <c r="A49" s="5">
        <v>48</v>
      </c>
      <c r="B49" s="5" t="s">
        <v>625</v>
      </c>
      <c r="C49" s="15" t="s">
        <v>626</v>
      </c>
      <c r="D49" s="27" t="s">
        <v>627</v>
      </c>
      <c r="E49" s="5">
        <v>16</v>
      </c>
      <c r="F49" s="5">
        <v>248</v>
      </c>
      <c r="G49" s="5" t="s">
        <v>2551</v>
      </c>
      <c r="H49" s="5">
        <v>3620</v>
      </c>
      <c r="I49" s="5">
        <v>0.83</v>
      </c>
      <c r="J49" s="82">
        <v>45127</v>
      </c>
      <c r="K49" s="82">
        <v>45867</v>
      </c>
      <c r="L49" s="81">
        <f t="shared" si="0"/>
        <v>24</v>
      </c>
      <c r="M49" s="5">
        <f t="shared" si="1"/>
        <v>72110.399999999994</v>
      </c>
      <c r="N49" s="5">
        <f t="shared" si="2"/>
        <v>3004.6</v>
      </c>
      <c r="O49" s="15" t="s">
        <v>628</v>
      </c>
      <c r="P49" s="5" t="s">
        <v>629</v>
      </c>
      <c r="Q49" s="5" t="s">
        <v>2553</v>
      </c>
      <c r="R49" s="38"/>
    </row>
    <row r="50" spans="1:18">
      <c r="A50" s="5">
        <v>49</v>
      </c>
      <c r="B50" s="5">
        <v>71154</v>
      </c>
      <c r="C50" s="15" t="s">
        <v>630</v>
      </c>
      <c r="D50" s="27" t="s">
        <v>631</v>
      </c>
      <c r="E50" s="5">
        <v>16</v>
      </c>
      <c r="F50" s="5">
        <v>249</v>
      </c>
      <c r="G50" s="5" t="s">
        <v>2551</v>
      </c>
      <c r="H50" s="5">
        <v>3620</v>
      </c>
      <c r="I50" s="5">
        <v>0.83</v>
      </c>
      <c r="J50" s="82">
        <v>45127</v>
      </c>
      <c r="K50" s="82">
        <v>45867</v>
      </c>
      <c r="L50" s="81">
        <f t="shared" si="0"/>
        <v>24</v>
      </c>
      <c r="M50" s="5">
        <f t="shared" ref="M50:M52" si="4">N50*L50</f>
        <v>120000</v>
      </c>
      <c r="N50" s="5">
        <v>5000</v>
      </c>
      <c r="O50" s="15" t="s">
        <v>632</v>
      </c>
      <c r="P50" s="5" t="s">
        <v>634</v>
      </c>
      <c r="Q50" s="5" t="s">
        <v>2557</v>
      </c>
      <c r="R50" s="38"/>
    </row>
    <row r="51" spans="1:18">
      <c r="A51" s="5">
        <v>50</v>
      </c>
      <c r="B51" s="5" t="s">
        <v>635</v>
      </c>
      <c r="C51" s="15" t="s">
        <v>636</v>
      </c>
      <c r="D51" s="27" t="s">
        <v>637</v>
      </c>
      <c r="E51" s="5">
        <v>19</v>
      </c>
      <c r="F51" s="5">
        <v>250</v>
      </c>
      <c r="G51" s="5" t="s">
        <v>2551</v>
      </c>
      <c r="H51" s="5">
        <v>3620</v>
      </c>
      <c r="I51" s="5">
        <v>0.83</v>
      </c>
      <c r="J51" s="82">
        <v>45127</v>
      </c>
      <c r="K51" s="82">
        <v>45867</v>
      </c>
      <c r="L51" s="81">
        <f t="shared" si="0"/>
        <v>24</v>
      </c>
      <c r="M51" s="5">
        <f t="shared" si="4"/>
        <v>120000</v>
      </c>
      <c r="N51" s="5">
        <v>5000</v>
      </c>
      <c r="O51" s="28" t="s">
        <v>638</v>
      </c>
      <c r="P51" s="5" t="s">
        <v>639</v>
      </c>
      <c r="Q51" s="5" t="s">
        <v>2557</v>
      </c>
      <c r="R51" s="38"/>
    </row>
    <row r="52" spans="1:18">
      <c r="A52" s="5">
        <v>51</v>
      </c>
      <c r="B52" s="5">
        <v>71184</v>
      </c>
      <c r="C52" s="15" t="s">
        <v>640</v>
      </c>
      <c r="D52" s="27" t="s">
        <v>641</v>
      </c>
      <c r="E52" s="5">
        <v>19</v>
      </c>
      <c r="F52" s="5">
        <v>251</v>
      </c>
      <c r="G52" s="5" t="s">
        <v>2551</v>
      </c>
      <c r="H52" s="5">
        <v>3620</v>
      </c>
      <c r="I52" s="5">
        <v>0.83</v>
      </c>
      <c r="J52" s="82">
        <v>45127</v>
      </c>
      <c r="K52" s="82">
        <v>45867</v>
      </c>
      <c r="L52" s="81">
        <f t="shared" si="0"/>
        <v>24</v>
      </c>
      <c r="M52" s="5">
        <f t="shared" si="4"/>
        <v>120000</v>
      </c>
      <c r="N52" s="5">
        <v>5000</v>
      </c>
      <c r="O52" s="15" t="s">
        <v>642</v>
      </c>
      <c r="P52" s="5" t="s">
        <v>643</v>
      </c>
      <c r="Q52" s="5" t="s">
        <v>2557</v>
      </c>
      <c r="R52" s="38"/>
    </row>
    <row r="53" spans="1:18">
      <c r="A53" s="5">
        <v>52</v>
      </c>
      <c r="B53" s="5" t="s">
        <v>644</v>
      </c>
      <c r="C53" s="15" t="s">
        <v>645</v>
      </c>
      <c r="D53" s="27" t="s">
        <v>646</v>
      </c>
      <c r="E53" s="5">
        <v>19</v>
      </c>
      <c r="F53" s="5">
        <v>252</v>
      </c>
      <c r="G53" s="5" t="s">
        <v>2551</v>
      </c>
      <c r="H53" s="5">
        <v>3620</v>
      </c>
      <c r="I53" s="5">
        <v>0.83</v>
      </c>
      <c r="J53" s="82">
        <v>45127</v>
      </c>
      <c r="K53" s="82">
        <v>45867</v>
      </c>
      <c r="L53" s="81">
        <f t="shared" si="0"/>
        <v>24</v>
      </c>
      <c r="M53" s="5">
        <f t="shared" si="1"/>
        <v>72110.399999999994</v>
      </c>
      <c r="N53" s="5">
        <f t="shared" si="2"/>
        <v>3004.6</v>
      </c>
      <c r="O53" s="28" t="s">
        <v>647</v>
      </c>
      <c r="P53" s="5" t="s">
        <v>648</v>
      </c>
      <c r="Q53" s="5" t="s">
        <v>2555</v>
      </c>
      <c r="R53" s="38"/>
    </row>
    <row r="54" spans="1:18">
      <c r="A54" s="5">
        <v>53</v>
      </c>
      <c r="B54" s="5" t="s">
        <v>649</v>
      </c>
      <c r="C54" s="15" t="s">
        <v>650</v>
      </c>
      <c r="D54" s="27" t="s">
        <v>651</v>
      </c>
      <c r="E54" s="5">
        <v>19</v>
      </c>
      <c r="F54" s="5">
        <v>253</v>
      </c>
      <c r="G54" s="5" t="s">
        <v>2551</v>
      </c>
      <c r="H54" s="5">
        <v>3620</v>
      </c>
      <c r="I54" s="5">
        <v>0.83</v>
      </c>
      <c r="J54" s="82">
        <v>45127</v>
      </c>
      <c r="K54" s="82">
        <v>45867</v>
      </c>
      <c r="L54" s="81">
        <f t="shared" si="0"/>
        <v>24</v>
      </c>
      <c r="M54" s="5">
        <f t="shared" si="1"/>
        <v>72110.399999999994</v>
      </c>
      <c r="N54" s="5">
        <f t="shared" si="2"/>
        <v>3004.6</v>
      </c>
      <c r="O54" s="15" t="s">
        <v>652</v>
      </c>
      <c r="P54" s="5" t="s">
        <v>653</v>
      </c>
      <c r="Q54" s="5" t="s">
        <v>2555</v>
      </c>
      <c r="R54" s="38"/>
    </row>
    <row r="55" spans="1:18" ht="28.8">
      <c r="A55" s="5">
        <v>54</v>
      </c>
      <c r="B55" s="5" t="s">
        <v>654</v>
      </c>
      <c r="C55" s="15" t="s">
        <v>655</v>
      </c>
      <c r="D55" s="27" t="s">
        <v>656</v>
      </c>
      <c r="E55" s="5">
        <v>19</v>
      </c>
      <c r="F55" s="5">
        <v>254</v>
      </c>
      <c r="G55" s="5" t="s">
        <v>2551</v>
      </c>
      <c r="H55" s="5">
        <v>3620</v>
      </c>
      <c r="I55" s="5">
        <v>0.83</v>
      </c>
      <c r="J55" s="82">
        <v>45127</v>
      </c>
      <c r="K55" s="82">
        <v>45867</v>
      </c>
      <c r="L55" s="81">
        <f t="shared" si="0"/>
        <v>24</v>
      </c>
      <c r="M55" s="5">
        <f t="shared" si="1"/>
        <v>72110.399999999994</v>
      </c>
      <c r="N55" s="5">
        <f t="shared" si="2"/>
        <v>3004.6</v>
      </c>
      <c r="O55" s="28" t="s">
        <v>657</v>
      </c>
      <c r="P55" s="5" t="s">
        <v>658</v>
      </c>
      <c r="Q55" s="5" t="s">
        <v>2555</v>
      </c>
      <c r="R55" s="38"/>
    </row>
    <row r="56" spans="1:18">
      <c r="A56" s="5">
        <v>55</v>
      </c>
      <c r="B56" s="5" t="s">
        <v>659</v>
      </c>
      <c r="C56" s="15" t="s">
        <v>660</v>
      </c>
      <c r="D56" s="27" t="s">
        <v>661</v>
      </c>
      <c r="E56" s="5">
        <v>19</v>
      </c>
      <c r="F56" s="5">
        <v>255</v>
      </c>
      <c r="G56" s="5" t="s">
        <v>2551</v>
      </c>
      <c r="H56" s="5">
        <v>3620</v>
      </c>
      <c r="I56" s="5">
        <v>0.83</v>
      </c>
      <c r="J56" s="82">
        <v>45127</v>
      </c>
      <c r="K56" s="82">
        <v>45867</v>
      </c>
      <c r="L56" s="81">
        <f t="shared" si="0"/>
        <v>24</v>
      </c>
      <c r="M56" s="5">
        <f t="shared" si="1"/>
        <v>72110.399999999994</v>
      </c>
      <c r="N56" s="5">
        <f t="shared" si="2"/>
        <v>3004.6</v>
      </c>
      <c r="O56" s="15" t="s">
        <v>662</v>
      </c>
      <c r="P56" s="5" t="s">
        <v>663</v>
      </c>
      <c r="Q56" s="5" t="s">
        <v>2555</v>
      </c>
      <c r="R56" s="38"/>
    </row>
    <row r="57" spans="1:18" ht="57.6">
      <c r="A57" s="5">
        <v>56</v>
      </c>
      <c r="B57" s="5" t="s">
        <v>664</v>
      </c>
      <c r="C57" s="15" t="s">
        <v>665</v>
      </c>
      <c r="D57" s="27" t="s">
        <v>666</v>
      </c>
      <c r="E57" s="5">
        <v>19</v>
      </c>
      <c r="F57" s="5">
        <v>256</v>
      </c>
      <c r="G57" s="5" t="s">
        <v>2551</v>
      </c>
      <c r="H57" s="5">
        <v>3620</v>
      </c>
      <c r="I57" s="5">
        <v>0.83</v>
      </c>
      <c r="J57" s="82">
        <v>45127</v>
      </c>
      <c r="K57" s="82">
        <v>45867</v>
      </c>
      <c r="L57" s="81">
        <f t="shared" si="0"/>
        <v>24</v>
      </c>
      <c r="M57" s="5">
        <f t="shared" si="1"/>
        <v>72110.399999999994</v>
      </c>
      <c r="N57" s="5">
        <f t="shared" si="2"/>
        <v>3004.6</v>
      </c>
      <c r="O57" s="15" t="s">
        <v>667</v>
      </c>
      <c r="P57" s="5" t="s">
        <v>668</v>
      </c>
      <c r="Q57" s="5" t="s">
        <v>2555</v>
      </c>
      <c r="R57" s="38"/>
    </row>
    <row r="58" spans="1:18">
      <c r="A58" s="5">
        <v>57</v>
      </c>
      <c r="B58" s="5">
        <v>71079</v>
      </c>
      <c r="C58" s="15" t="s">
        <v>669</v>
      </c>
      <c r="D58" s="27" t="s">
        <v>670</v>
      </c>
      <c r="E58" s="5">
        <v>19</v>
      </c>
      <c r="F58" s="5">
        <v>257</v>
      </c>
      <c r="G58" s="5" t="s">
        <v>2551</v>
      </c>
      <c r="H58" s="5">
        <v>3620</v>
      </c>
      <c r="I58" s="5">
        <v>0.83</v>
      </c>
      <c r="J58" s="82">
        <v>45127</v>
      </c>
      <c r="K58" s="82">
        <v>45867</v>
      </c>
      <c r="L58" s="81">
        <f t="shared" si="0"/>
        <v>24</v>
      </c>
      <c r="M58" s="5">
        <f t="shared" si="1"/>
        <v>72110.399999999994</v>
      </c>
      <c r="N58" s="5">
        <f t="shared" si="2"/>
        <v>3004.6</v>
      </c>
      <c r="O58" s="15" t="s">
        <v>671</v>
      </c>
      <c r="P58" s="5" t="s">
        <v>381</v>
      </c>
      <c r="Q58" s="5" t="s">
        <v>2555</v>
      </c>
      <c r="R58" s="38"/>
    </row>
    <row r="59" spans="1:18" ht="28.8">
      <c r="A59" s="5">
        <v>58</v>
      </c>
      <c r="B59" s="5" t="s">
        <v>672</v>
      </c>
      <c r="C59" s="15" t="s">
        <v>673</v>
      </c>
      <c r="D59" s="27" t="s">
        <v>674</v>
      </c>
      <c r="E59" s="5">
        <v>19</v>
      </c>
      <c r="F59" s="5">
        <v>258</v>
      </c>
      <c r="G59" s="5" t="s">
        <v>2551</v>
      </c>
      <c r="H59" s="5">
        <v>3620</v>
      </c>
      <c r="I59" s="5">
        <v>0.83</v>
      </c>
      <c r="J59" s="82">
        <v>45127</v>
      </c>
      <c r="K59" s="82">
        <v>45867</v>
      </c>
      <c r="L59" s="81">
        <f t="shared" si="0"/>
        <v>24</v>
      </c>
      <c r="M59" s="5">
        <f t="shared" si="1"/>
        <v>72110.399999999994</v>
      </c>
      <c r="N59" s="5">
        <f t="shared" si="2"/>
        <v>3004.6</v>
      </c>
      <c r="O59" s="15" t="s">
        <v>675</v>
      </c>
      <c r="P59" s="5" t="s">
        <v>676</v>
      </c>
      <c r="Q59" s="5" t="s">
        <v>2555</v>
      </c>
      <c r="R59" s="38"/>
    </row>
    <row r="60" spans="1:18">
      <c r="A60" s="5">
        <v>59</v>
      </c>
      <c r="B60" s="5" t="s">
        <v>677</v>
      </c>
      <c r="C60" s="15" t="s">
        <v>678</v>
      </c>
      <c r="D60" s="27" t="s">
        <v>679</v>
      </c>
      <c r="E60" s="5">
        <v>19</v>
      </c>
      <c r="F60" s="5">
        <v>259</v>
      </c>
      <c r="G60" s="5" t="s">
        <v>2551</v>
      </c>
      <c r="H60" s="5">
        <v>3620</v>
      </c>
      <c r="I60" s="5">
        <v>0.83</v>
      </c>
      <c r="J60" s="82">
        <v>45127</v>
      </c>
      <c r="K60" s="82">
        <v>45867</v>
      </c>
      <c r="L60" s="81">
        <f t="shared" si="0"/>
        <v>24</v>
      </c>
      <c r="M60" s="5">
        <f t="shared" si="1"/>
        <v>72110.399999999994</v>
      </c>
      <c r="N60" s="5">
        <f t="shared" si="2"/>
        <v>3004.6</v>
      </c>
      <c r="O60" s="28" t="s">
        <v>680</v>
      </c>
      <c r="P60" s="5" t="s">
        <v>681</v>
      </c>
      <c r="Q60" s="5" t="s">
        <v>2555</v>
      </c>
      <c r="R60" s="38"/>
    </row>
    <row r="61" spans="1:18">
      <c r="A61" s="5">
        <v>60</v>
      </c>
      <c r="B61" s="5">
        <v>71344</v>
      </c>
      <c r="C61" s="15" t="s">
        <v>682</v>
      </c>
      <c r="D61" s="27" t="s">
        <v>683</v>
      </c>
      <c r="E61" s="5">
        <v>19</v>
      </c>
      <c r="F61" s="5">
        <v>260</v>
      </c>
      <c r="G61" s="5" t="s">
        <v>2551</v>
      </c>
      <c r="H61" s="5">
        <v>3620</v>
      </c>
      <c r="I61" s="5">
        <v>0.83</v>
      </c>
      <c r="J61" s="82">
        <v>45127</v>
      </c>
      <c r="K61" s="82">
        <v>45867</v>
      </c>
      <c r="L61" s="81">
        <f t="shared" si="0"/>
        <v>24</v>
      </c>
      <c r="M61" s="5">
        <f t="shared" si="1"/>
        <v>72110.399999999994</v>
      </c>
      <c r="N61" s="5">
        <f t="shared" si="2"/>
        <v>3004.6</v>
      </c>
      <c r="O61" s="28" t="s">
        <v>684</v>
      </c>
      <c r="P61" s="5"/>
      <c r="Q61" s="5" t="s">
        <v>2555</v>
      </c>
      <c r="R61" s="38"/>
    </row>
    <row r="62" spans="1:18">
      <c r="A62" s="5">
        <v>61</v>
      </c>
      <c r="B62" s="5">
        <v>71095</v>
      </c>
      <c r="C62" s="15" t="s">
        <v>685</v>
      </c>
      <c r="D62" s="27" t="s">
        <v>686</v>
      </c>
      <c r="E62" s="5">
        <v>19</v>
      </c>
      <c r="F62" s="5">
        <v>261</v>
      </c>
      <c r="G62" s="5" t="s">
        <v>2551</v>
      </c>
      <c r="H62" s="5">
        <v>3620</v>
      </c>
      <c r="I62" s="5">
        <v>0.83</v>
      </c>
      <c r="J62" s="82">
        <v>45127</v>
      </c>
      <c r="K62" s="82">
        <v>45867</v>
      </c>
      <c r="L62" s="81">
        <f t="shared" si="0"/>
        <v>24</v>
      </c>
      <c r="M62" s="5">
        <f t="shared" si="1"/>
        <v>72110.399999999994</v>
      </c>
      <c r="N62" s="5">
        <f t="shared" si="2"/>
        <v>3004.6</v>
      </c>
      <c r="O62" s="15" t="s">
        <v>687</v>
      </c>
      <c r="P62" s="5" t="s">
        <v>688</v>
      </c>
      <c r="Q62" s="5" t="s">
        <v>2555</v>
      </c>
      <c r="R62" s="38"/>
    </row>
    <row r="63" spans="1:18" ht="28.8">
      <c r="A63" s="5">
        <v>62</v>
      </c>
      <c r="B63" s="5" t="s">
        <v>689</v>
      </c>
      <c r="C63" s="15" t="s">
        <v>690</v>
      </c>
      <c r="D63" s="27" t="s">
        <v>691</v>
      </c>
      <c r="E63" s="5">
        <v>19</v>
      </c>
      <c r="F63" s="5">
        <v>262</v>
      </c>
      <c r="G63" s="5" t="s">
        <v>2551</v>
      </c>
      <c r="H63" s="5">
        <v>3620</v>
      </c>
      <c r="I63" s="5">
        <v>0.83</v>
      </c>
      <c r="J63" s="82">
        <v>45127</v>
      </c>
      <c r="K63" s="82">
        <v>45867</v>
      </c>
      <c r="L63" s="81">
        <f t="shared" si="0"/>
        <v>24</v>
      </c>
      <c r="M63" s="5">
        <f t="shared" si="1"/>
        <v>72110.399999999994</v>
      </c>
      <c r="N63" s="5">
        <f t="shared" si="2"/>
        <v>3004.6</v>
      </c>
      <c r="O63" s="15" t="s">
        <v>692</v>
      </c>
      <c r="P63" s="5" t="s">
        <v>693</v>
      </c>
      <c r="Q63" s="5" t="s">
        <v>2555</v>
      </c>
      <c r="R63" s="38"/>
    </row>
    <row r="64" spans="1:18">
      <c r="A64" s="5">
        <v>63</v>
      </c>
      <c r="B64" s="5" t="s">
        <v>694</v>
      </c>
      <c r="C64" s="15" t="s">
        <v>695</v>
      </c>
      <c r="D64" s="27" t="s">
        <v>696</v>
      </c>
      <c r="E64" s="5">
        <v>19</v>
      </c>
      <c r="F64" s="5">
        <v>263</v>
      </c>
      <c r="G64" s="5" t="s">
        <v>2551</v>
      </c>
      <c r="H64" s="5">
        <v>3620</v>
      </c>
      <c r="I64" s="5">
        <v>0.83</v>
      </c>
      <c r="J64" s="82">
        <v>45127</v>
      </c>
      <c r="K64" s="82">
        <v>45867</v>
      </c>
      <c r="L64" s="81">
        <f t="shared" si="0"/>
        <v>24</v>
      </c>
      <c r="M64" s="5">
        <f t="shared" si="1"/>
        <v>72110.399999999994</v>
      </c>
      <c r="N64" s="5">
        <f t="shared" si="2"/>
        <v>3004.6</v>
      </c>
      <c r="O64" s="28" t="s">
        <v>697</v>
      </c>
      <c r="P64" s="5" t="s">
        <v>698</v>
      </c>
      <c r="Q64" s="5" t="s">
        <v>2555</v>
      </c>
      <c r="R64" s="38"/>
    </row>
    <row r="65" spans="1:18" ht="115.2">
      <c r="A65" s="57">
        <v>64</v>
      </c>
      <c r="B65" s="57" t="s">
        <v>699</v>
      </c>
      <c r="C65" s="58" t="s">
        <v>700</v>
      </c>
      <c r="D65" s="59" t="s">
        <v>304</v>
      </c>
      <c r="E65" s="57">
        <v>20</v>
      </c>
      <c r="F65" s="57">
        <v>264</v>
      </c>
      <c r="G65" s="57" t="s">
        <v>2551</v>
      </c>
      <c r="H65" s="5">
        <v>3620</v>
      </c>
      <c r="I65" s="5">
        <v>0.83</v>
      </c>
      <c r="J65" s="82">
        <v>45127</v>
      </c>
      <c r="K65" s="82">
        <v>45867</v>
      </c>
      <c r="L65" s="81">
        <f t="shared" si="0"/>
        <v>24</v>
      </c>
      <c r="M65" s="5">
        <f>N65*L65</f>
        <v>120000</v>
      </c>
      <c r="N65" s="5">
        <v>5000</v>
      </c>
      <c r="O65" s="58" t="s">
        <v>305</v>
      </c>
      <c r="P65" s="57" t="s">
        <v>306</v>
      </c>
      <c r="Q65" s="57" t="s">
        <v>2557</v>
      </c>
      <c r="R65" s="60"/>
    </row>
    <row r="66" spans="1:18" ht="28.8">
      <c r="A66" s="5">
        <v>65</v>
      </c>
      <c r="B66" s="5">
        <v>71297</v>
      </c>
      <c r="C66" s="15" t="s">
        <v>701</v>
      </c>
      <c r="D66" s="27" t="s">
        <v>702</v>
      </c>
      <c r="E66" s="5">
        <v>20</v>
      </c>
      <c r="F66" s="5">
        <v>265</v>
      </c>
      <c r="G66" s="5" t="s">
        <v>2551</v>
      </c>
      <c r="H66" s="5">
        <v>3620</v>
      </c>
      <c r="I66" s="5">
        <v>0.83</v>
      </c>
      <c r="J66" s="82">
        <v>45127</v>
      </c>
      <c r="K66" s="82">
        <v>45867</v>
      </c>
      <c r="L66" s="81">
        <f t="shared" si="0"/>
        <v>24</v>
      </c>
      <c r="M66" s="5">
        <f t="shared" si="1"/>
        <v>72110.399999999994</v>
      </c>
      <c r="N66" s="5">
        <f t="shared" si="2"/>
        <v>3004.6</v>
      </c>
      <c r="O66" s="15" t="s">
        <v>2350</v>
      </c>
      <c r="P66" s="5" t="s">
        <v>703</v>
      </c>
      <c r="Q66" s="5" t="s">
        <v>2555</v>
      </c>
      <c r="R66" s="38"/>
    </row>
    <row r="67" spans="1:18">
      <c r="A67" s="5">
        <v>66</v>
      </c>
      <c r="B67" s="5" t="s">
        <v>704</v>
      </c>
      <c r="C67" s="15" t="s">
        <v>705</v>
      </c>
      <c r="D67" s="27" t="s">
        <v>706</v>
      </c>
      <c r="E67" s="5">
        <v>20</v>
      </c>
      <c r="F67" s="5">
        <v>266</v>
      </c>
      <c r="G67" s="5" t="s">
        <v>2551</v>
      </c>
      <c r="H67" s="5">
        <v>3620</v>
      </c>
      <c r="I67" s="5">
        <v>0.83</v>
      </c>
      <c r="J67" s="82">
        <v>45127</v>
      </c>
      <c r="K67" s="82">
        <v>45867</v>
      </c>
      <c r="L67" s="81">
        <f t="shared" ref="L67:L130" si="5">DATEDIF(J67,K67,"M")</f>
        <v>24</v>
      </c>
      <c r="M67" s="5">
        <f t="shared" ref="M67:M130" si="6">I67*H67*L67</f>
        <v>72110.399999999994</v>
      </c>
      <c r="N67" s="5">
        <f t="shared" ref="N67:N130" si="7">M67/24</f>
        <v>3004.6</v>
      </c>
      <c r="O67" s="15" t="s">
        <v>707</v>
      </c>
      <c r="P67" s="5" t="s">
        <v>708</v>
      </c>
      <c r="Q67" s="5" t="s">
        <v>2555</v>
      </c>
      <c r="R67" s="38"/>
    </row>
    <row r="68" spans="1:18">
      <c r="A68" s="5">
        <v>67</v>
      </c>
      <c r="B68" s="5" t="s">
        <v>709</v>
      </c>
      <c r="C68" s="15" t="s">
        <v>710</v>
      </c>
      <c r="D68" s="27" t="s">
        <v>711</v>
      </c>
      <c r="E68" s="5">
        <v>20</v>
      </c>
      <c r="F68" s="5">
        <v>267</v>
      </c>
      <c r="G68" s="5" t="s">
        <v>2551</v>
      </c>
      <c r="H68" s="5">
        <v>3620</v>
      </c>
      <c r="I68" s="5">
        <v>0.83</v>
      </c>
      <c r="J68" s="82">
        <v>45127</v>
      </c>
      <c r="K68" s="82">
        <v>45867</v>
      </c>
      <c r="L68" s="81">
        <f t="shared" si="5"/>
        <v>24</v>
      </c>
      <c r="M68" s="5">
        <f>N68*L68</f>
        <v>120000</v>
      </c>
      <c r="N68" s="5">
        <v>5000</v>
      </c>
      <c r="O68" s="15" t="s">
        <v>712</v>
      </c>
      <c r="P68" s="5" t="s">
        <v>713</v>
      </c>
      <c r="Q68" s="5" t="s">
        <v>2557</v>
      </c>
      <c r="R68" s="38"/>
    </row>
    <row r="69" spans="1:18" ht="28.8">
      <c r="A69" s="5">
        <v>68</v>
      </c>
      <c r="B69" s="5" t="s">
        <v>714</v>
      </c>
      <c r="C69" s="15" t="s">
        <v>715</v>
      </c>
      <c r="D69" s="27" t="s">
        <v>716</v>
      </c>
      <c r="E69" s="5">
        <v>20</v>
      </c>
      <c r="F69" s="5">
        <v>268</v>
      </c>
      <c r="G69" s="5" t="s">
        <v>2551</v>
      </c>
      <c r="H69" s="5">
        <v>3620</v>
      </c>
      <c r="I69" s="5">
        <v>0.83</v>
      </c>
      <c r="J69" s="82">
        <v>45127</v>
      </c>
      <c r="K69" s="82">
        <v>45867</v>
      </c>
      <c r="L69" s="81">
        <f t="shared" si="5"/>
        <v>24</v>
      </c>
      <c r="M69" s="5">
        <f t="shared" si="6"/>
        <v>72110.399999999994</v>
      </c>
      <c r="N69" s="5">
        <f t="shared" si="7"/>
        <v>3004.6</v>
      </c>
      <c r="O69" s="28" t="s">
        <v>717</v>
      </c>
      <c r="P69" s="5" t="s">
        <v>718</v>
      </c>
      <c r="Q69" s="5" t="s">
        <v>2555</v>
      </c>
      <c r="R69" s="38"/>
    </row>
    <row r="70" spans="1:18">
      <c r="A70" s="5">
        <v>69</v>
      </c>
      <c r="B70" s="5" t="s">
        <v>719</v>
      </c>
      <c r="C70" s="15" t="s">
        <v>720</v>
      </c>
      <c r="D70" s="27" t="s">
        <v>721</v>
      </c>
      <c r="E70" s="5">
        <v>7</v>
      </c>
      <c r="F70" s="5">
        <v>269</v>
      </c>
      <c r="G70" s="5" t="s">
        <v>2551</v>
      </c>
      <c r="H70" s="5">
        <v>3620</v>
      </c>
      <c r="I70" s="5">
        <v>0.83</v>
      </c>
      <c r="J70" s="82">
        <v>45127</v>
      </c>
      <c r="K70" s="82">
        <v>45867</v>
      </c>
      <c r="L70" s="81">
        <f t="shared" si="5"/>
        <v>24</v>
      </c>
      <c r="M70" s="5">
        <f>N70*L70</f>
        <v>120000</v>
      </c>
      <c r="N70" s="5">
        <v>5000</v>
      </c>
      <c r="O70" s="15" t="s">
        <v>722</v>
      </c>
      <c r="P70" s="5" t="s">
        <v>723</v>
      </c>
      <c r="Q70" s="5" t="s">
        <v>2557</v>
      </c>
      <c r="R70" s="38"/>
    </row>
    <row r="71" spans="1:18">
      <c r="A71" s="5">
        <v>70</v>
      </c>
      <c r="B71" s="5">
        <v>71381</v>
      </c>
      <c r="C71" s="15" t="s">
        <v>724</v>
      </c>
      <c r="D71" s="27" t="s">
        <v>725</v>
      </c>
      <c r="E71" s="5">
        <v>7</v>
      </c>
      <c r="F71" s="5">
        <v>270</v>
      </c>
      <c r="G71" s="5" t="s">
        <v>2551</v>
      </c>
      <c r="H71" s="5">
        <v>3620</v>
      </c>
      <c r="I71" s="5">
        <v>0.83</v>
      </c>
      <c r="J71" s="82">
        <v>45127</v>
      </c>
      <c r="K71" s="82">
        <v>45867</v>
      </c>
      <c r="L71" s="81">
        <f t="shared" si="5"/>
        <v>24</v>
      </c>
      <c r="M71" s="5">
        <f t="shared" si="6"/>
        <v>72110.399999999994</v>
      </c>
      <c r="N71" s="5">
        <f t="shared" si="7"/>
        <v>3004.6</v>
      </c>
      <c r="O71" s="28" t="s">
        <v>726</v>
      </c>
      <c r="P71" s="5" t="s">
        <v>727</v>
      </c>
      <c r="Q71" s="5" t="s">
        <v>2555</v>
      </c>
      <c r="R71" s="38"/>
    </row>
    <row r="72" spans="1:18" ht="28.8">
      <c r="A72" s="5">
        <v>71</v>
      </c>
      <c r="B72" s="5" t="s">
        <v>2419</v>
      </c>
      <c r="C72" s="15" t="s">
        <v>2418</v>
      </c>
      <c r="D72" s="27" t="s">
        <v>2255</v>
      </c>
      <c r="E72" s="5">
        <v>7</v>
      </c>
      <c r="F72" s="5">
        <v>271</v>
      </c>
      <c r="G72" s="5" t="s">
        <v>2551</v>
      </c>
      <c r="H72" s="5">
        <v>3620</v>
      </c>
      <c r="I72" s="5">
        <v>0.83</v>
      </c>
      <c r="J72" s="82">
        <v>45127</v>
      </c>
      <c r="K72" s="82">
        <v>45867</v>
      </c>
      <c r="L72" s="81">
        <f t="shared" si="5"/>
        <v>24</v>
      </c>
      <c r="M72" s="5">
        <f t="shared" si="6"/>
        <v>72110.399999999994</v>
      </c>
      <c r="N72" s="5">
        <f t="shared" si="7"/>
        <v>3004.6</v>
      </c>
      <c r="O72" s="28" t="s">
        <v>2420</v>
      </c>
      <c r="P72" s="5" t="s">
        <v>2257</v>
      </c>
      <c r="Q72" s="5" t="s">
        <v>2555</v>
      </c>
      <c r="R72" s="38"/>
    </row>
    <row r="73" spans="1:18">
      <c r="A73" s="5">
        <v>72</v>
      </c>
      <c r="B73" s="5">
        <v>71292</v>
      </c>
      <c r="C73" s="15" t="s">
        <v>728</v>
      </c>
      <c r="D73" s="27" t="s">
        <v>729</v>
      </c>
      <c r="E73" s="5">
        <v>7</v>
      </c>
      <c r="F73" s="5">
        <v>272</v>
      </c>
      <c r="G73" s="5" t="s">
        <v>2551</v>
      </c>
      <c r="H73" s="5">
        <v>3620</v>
      </c>
      <c r="I73" s="5">
        <v>0.83</v>
      </c>
      <c r="J73" s="82">
        <v>45127</v>
      </c>
      <c r="K73" s="82">
        <v>45867</v>
      </c>
      <c r="L73" s="81">
        <f t="shared" si="5"/>
        <v>24</v>
      </c>
      <c r="M73" s="5">
        <f t="shared" si="6"/>
        <v>72110.399999999994</v>
      </c>
      <c r="N73" s="5">
        <f t="shared" si="7"/>
        <v>3004.6</v>
      </c>
      <c r="O73" s="15" t="s">
        <v>730</v>
      </c>
      <c r="P73" s="5" t="s">
        <v>731</v>
      </c>
      <c r="Q73" s="5" t="s">
        <v>2555</v>
      </c>
      <c r="R73" s="38"/>
    </row>
    <row r="74" spans="1:18">
      <c r="A74" s="5">
        <v>73</v>
      </c>
      <c r="B74" s="5" t="s">
        <v>732</v>
      </c>
      <c r="C74" s="15" t="s">
        <v>733</v>
      </c>
      <c r="D74" s="27" t="s">
        <v>734</v>
      </c>
      <c r="E74" s="5">
        <v>7</v>
      </c>
      <c r="F74" s="5">
        <v>273</v>
      </c>
      <c r="G74" s="5" t="s">
        <v>2551</v>
      </c>
      <c r="H74" s="5">
        <v>3620</v>
      </c>
      <c r="I74" s="5">
        <v>0.83</v>
      </c>
      <c r="J74" s="82">
        <v>45127</v>
      </c>
      <c r="K74" s="82">
        <v>45867</v>
      </c>
      <c r="L74" s="81">
        <f t="shared" si="5"/>
        <v>24</v>
      </c>
      <c r="M74" s="5">
        <f t="shared" si="6"/>
        <v>72110.399999999994</v>
      </c>
      <c r="N74" s="5">
        <f t="shared" si="7"/>
        <v>3004.6</v>
      </c>
      <c r="O74" s="28" t="s">
        <v>735</v>
      </c>
      <c r="P74" s="5" t="s">
        <v>736</v>
      </c>
      <c r="Q74" s="5" t="s">
        <v>2555</v>
      </c>
      <c r="R74" s="38"/>
    </row>
    <row r="75" spans="1:18" ht="28.8">
      <c r="A75" s="5">
        <v>74</v>
      </c>
      <c r="B75" s="5">
        <v>71313</v>
      </c>
      <c r="C75" s="15" t="s">
        <v>737</v>
      </c>
      <c r="D75" s="27" t="s">
        <v>738</v>
      </c>
      <c r="E75" s="5">
        <v>7</v>
      </c>
      <c r="F75" s="5">
        <v>274</v>
      </c>
      <c r="G75" s="5" t="s">
        <v>2551</v>
      </c>
      <c r="H75" s="5">
        <v>3620</v>
      </c>
      <c r="I75" s="5">
        <v>0.83</v>
      </c>
      <c r="J75" s="82">
        <v>45127</v>
      </c>
      <c r="K75" s="82">
        <v>45867</v>
      </c>
      <c r="L75" s="81">
        <f t="shared" si="5"/>
        <v>24</v>
      </c>
      <c r="M75" s="5">
        <f t="shared" si="6"/>
        <v>72110.399999999994</v>
      </c>
      <c r="N75" s="5">
        <f t="shared" si="7"/>
        <v>3004.6</v>
      </c>
      <c r="O75" s="15" t="s">
        <v>739</v>
      </c>
      <c r="P75" s="5" t="s">
        <v>740</v>
      </c>
      <c r="Q75" s="5" t="s">
        <v>2555</v>
      </c>
      <c r="R75" s="38"/>
    </row>
    <row r="76" spans="1:18" ht="28.8">
      <c r="A76" s="5">
        <v>75</v>
      </c>
      <c r="B76" s="5" t="s">
        <v>741</v>
      </c>
      <c r="C76" s="15" t="s">
        <v>742</v>
      </c>
      <c r="D76" s="27" t="s">
        <v>743</v>
      </c>
      <c r="E76" s="5">
        <v>7</v>
      </c>
      <c r="F76" s="5">
        <v>275</v>
      </c>
      <c r="G76" s="5" t="s">
        <v>2551</v>
      </c>
      <c r="H76" s="5">
        <v>3620</v>
      </c>
      <c r="I76" s="5">
        <v>0.83</v>
      </c>
      <c r="J76" s="82">
        <v>45127</v>
      </c>
      <c r="K76" s="82">
        <v>45867</v>
      </c>
      <c r="L76" s="81">
        <f t="shared" si="5"/>
        <v>24</v>
      </c>
      <c r="M76" s="5">
        <f t="shared" si="6"/>
        <v>72110.399999999994</v>
      </c>
      <c r="N76" s="5">
        <f t="shared" si="7"/>
        <v>3004.6</v>
      </c>
      <c r="O76" s="28" t="s">
        <v>744</v>
      </c>
      <c r="P76" s="5" t="s">
        <v>745</v>
      </c>
      <c r="Q76" s="5" t="s">
        <v>2555</v>
      </c>
      <c r="R76" s="38"/>
    </row>
    <row r="77" spans="1:18" ht="57.6">
      <c r="A77" s="57">
        <v>76</v>
      </c>
      <c r="B77" s="57" t="s">
        <v>2482</v>
      </c>
      <c r="C77" s="58" t="s">
        <v>2481</v>
      </c>
      <c r="D77" s="59" t="s">
        <v>2483</v>
      </c>
      <c r="E77" s="57">
        <v>7</v>
      </c>
      <c r="F77" s="57">
        <v>276</v>
      </c>
      <c r="G77" s="57" t="s">
        <v>2551</v>
      </c>
      <c r="H77" s="5">
        <v>3620</v>
      </c>
      <c r="I77" s="5">
        <v>0.83</v>
      </c>
      <c r="J77" s="82">
        <v>45127</v>
      </c>
      <c r="K77" s="82">
        <v>45867</v>
      </c>
      <c r="L77" s="81">
        <f t="shared" si="5"/>
        <v>24</v>
      </c>
      <c r="M77" s="5">
        <f t="shared" si="6"/>
        <v>72110.399999999994</v>
      </c>
      <c r="N77" s="5">
        <f t="shared" si="7"/>
        <v>3004.6</v>
      </c>
      <c r="O77" s="58" t="s">
        <v>746</v>
      </c>
      <c r="P77" s="57" t="s">
        <v>2533</v>
      </c>
      <c r="Q77" s="5" t="s">
        <v>2555</v>
      </c>
      <c r="R77" s="60"/>
    </row>
    <row r="78" spans="1:18">
      <c r="A78" s="5">
        <v>77</v>
      </c>
      <c r="B78" s="5" t="s">
        <v>747</v>
      </c>
      <c r="C78" s="15" t="s">
        <v>748</v>
      </c>
      <c r="D78" s="27" t="s">
        <v>749</v>
      </c>
      <c r="E78" s="5">
        <v>7</v>
      </c>
      <c r="F78" s="5">
        <v>277</v>
      </c>
      <c r="G78" s="5" t="s">
        <v>2551</v>
      </c>
      <c r="H78" s="5">
        <v>3620</v>
      </c>
      <c r="I78" s="5">
        <v>0.83</v>
      </c>
      <c r="J78" s="82">
        <v>45127</v>
      </c>
      <c r="K78" s="82">
        <v>45867</v>
      </c>
      <c r="L78" s="81">
        <f t="shared" si="5"/>
        <v>24</v>
      </c>
      <c r="M78" s="5">
        <f>N78*L78</f>
        <v>120000</v>
      </c>
      <c r="N78" s="5">
        <v>5000</v>
      </c>
      <c r="O78" s="15" t="s">
        <v>750</v>
      </c>
      <c r="P78" s="5" t="s">
        <v>751</v>
      </c>
      <c r="Q78" s="5" t="s">
        <v>2557</v>
      </c>
      <c r="R78" s="38"/>
    </row>
    <row r="79" spans="1:18">
      <c r="A79" s="5">
        <v>78</v>
      </c>
      <c r="B79" s="5" t="s">
        <v>2409</v>
      </c>
      <c r="C79" s="15" t="s">
        <v>2408</v>
      </c>
      <c r="D79" s="27" t="s">
        <v>2410</v>
      </c>
      <c r="E79" s="5">
        <v>7</v>
      </c>
      <c r="F79" s="5">
        <v>278</v>
      </c>
      <c r="G79" s="5" t="s">
        <v>2551</v>
      </c>
      <c r="H79" s="5">
        <v>3620</v>
      </c>
      <c r="I79" s="5">
        <v>0.83</v>
      </c>
      <c r="J79" s="82">
        <v>45127</v>
      </c>
      <c r="K79" s="82">
        <v>45867</v>
      </c>
      <c r="L79" s="81">
        <f t="shared" si="5"/>
        <v>24</v>
      </c>
      <c r="M79" s="5">
        <f t="shared" si="6"/>
        <v>72110.399999999994</v>
      </c>
      <c r="N79" s="5">
        <f t="shared" si="7"/>
        <v>3004.6</v>
      </c>
      <c r="O79" s="28" t="s">
        <v>2411</v>
      </c>
      <c r="P79" s="5" t="s">
        <v>2412</v>
      </c>
      <c r="Q79" s="5" t="s">
        <v>2555</v>
      </c>
      <c r="R79" s="38"/>
    </row>
    <row r="80" spans="1:18" ht="28.8">
      <c r="A80" s="5">
        <v>79</v>
      </c>
      <c r="B80" s="5">
        <v>71162</v>
      </c>
      <c r="C80" s="15" t="s">
        <v>752</v>
      </c>
      <c r="D80" s="27" t="s">
        <v>753</v>
      </c>
      <c r="E80" s="5">
        <v>7</v>
      </c>
      <c r="F80" s="5">
        <v>279</v>
      </c>
      <c r="G80" s="5" t="s">
        <v>2551</v>
      </c>
      <c r="H80" s="5">
        <v>3620</v>
      </c>
      <c r="I80" s="5">
        <v>0.83</v>
      </c>
      <c r="J80" s="82">
        <v>45127</v>
      </c>
      <c r="K80" s="82">
        <v>45867</v>
      </c>
      <c r="L80" s="81">
        <f t="shared" si="5"/>
        <v>24</v>
      </c>
      <c r="M80" s="5">
        <f t="shared" si="6"/>
        <v>72110.399999999994</v>
      </c>
      <c r="N80" s="5">
        <f t="shared" si="7"/>
        <v>3004.6</v>
      </c>
      <c r="O80" s="15" t="s">
        <v>754</v>
      </c>
      <c r="P80" s="5" t="s">
        <v>755</v>
      </c>
      <c r="Q80" s="5" t="s">
        <v>2555</v>
      </c>
      <c r="R80" s="38"/>
    </row>
    <row r="81" spans="1:20">
      <c r="A81" s="5">
        <v>80</v>
      </c>
      <c r="B81" s="5">
        <v>71045</v>
      </c>
      <c r="C81" s="15" t="s">
        <v>756</v>
      </c>
      <c r="D81" s="27" t="s">
        <v>757</v>
      </c>
      <c r="E81" s="5">
        <v>7</v>
      </c>
      <c r="F81" s="5">
        <v>280</v>
      </c>
      <c r="G81" s="5" t="s">
        <v>2551</v>
      </c>
      <c r="H81" s="5">
        <v>3620</v>
      </c>
      <c r="I81" s="5">
        <v>0.83</v>
      </c>
      <c r="J81" s="82">
        <v>45127</v>
      </c>
      <c r="K81" s="82">
        <v>45867</v>
      </c>
      <c r="L81" s="81">
        <f t="shared" si="5"/>
        <v>24</v>
      </c>
      <c r="M81" s="5">
        <f t="shared" si="6"/>
        <v>72110.399999999994</v>
      </c>
      <c r="N81" s="5">
        <f t="shared" si="7"/>
        <v>3004.6</v>
      </c>
      <c r="O81" s="15" t="s">
        <v>758</v>
      </c>
      <c r="P81" s="5" t="s">
        <v>759</v>
      </c>
      <c r="Q81" s="5" t="s">
        <v>2555</v>
      </c>
      <c r="R81" s="38"/>
    </row>
    <row r="82" spans="1:20">
      <c r="A82" s="16">
        <v>81</v>
      </c>
      <c r="B82" s="16">
        <v>71104</v>
      </c>
      <c r="C82" s="30" t="s">
        <v>760</v>
      </c>
      <c r="D82" s="27" t="s">
        <v>761</v>
      </c>
      <c r="E82" s="5">
        <v>7</v>
      </c>
      <c r="F82" s="5">
        <v>281</v>
      </c>
      <c r="G82" s="5" t="s">
        <v>2551</v>
      </c>
      <c r="H82" s="5">
        <v>3620</v>
      </c>
      <c r="I82" s="5">
        <v>0.83</v>
      </c>
      <c r="J82" s="82">
        <v>45127</v>
      </c>
      <c r="K82" s="82">
        <v>45867</v>
      </c>
      <c r="L82" s="81">
        <f t="shared" si="5"/>
        <v>24</v>
      </c>
      <c r="M82" s="5">
        <f t="shared" si="6"/>
        <v>72110.399999999994</v>
      </c>
      <c r="N82" s="5">
        <f t="shared" si="7"/>
        <v>3004.6</v>
      </c>
      <c r="O82" s="15" t="s">
        <v>762</v>
      </c>
      <c r="P82" s="5" t="s">
        <v>763</v>
      </c>
      <c r="Q82" s="5" t="s">
        <v>2555</v>
      </c>
      <c r="R82" s="38"/>
    </row>
    <row r="83" spans="1:20">
      <c r="A83" s="5">
        <v>82</v>
      </c>
      <c r="B83" s="5" t="s">
        <v>764</v>
      </c>
      <c r="C83" s="15" t="s">
        <v>765</v>
      </c>
      <c r="D83" s="27" t="s">
        <v>766</v>
      </c>
      <c r="E83" s="5">
        <v>7</v>
      </c>
      <c r="F83" s="5">
        <v>282</v>
      </c>
      <c r="G83" s="5" t="s">
        <v>2551</v>
      </c>
      <c r="H83" s="5">
        <v>3620</v>
      </c>
      <c r="I83" s="5">
        <v>0.83</v>
      </c>
      <c r="J83" s="82">
        <v>45127</v>
      </c>
      <c r="K83" s="82">
        <v>45867</v>
      </c>
      <c r="L83" s="81">
        <f t="shared" si="5"/>
        <v>24</v>
      </c>
      <c r="M83" s="5">
        <f t="shared" si="6"/>
        <v>72110.399999999994</v>
      </c>
      <c r="N83" s="5">
        <f t="shared" si="7"/>
        <v>3004.6</v>
      </c>
      <c r="O83" s="15" t="s">
        <v>767</v>
      </c>
      <c r="P83" s="5" t="s">
        <v>768</v>
      </c>
      <c r="Q83" s="5" t="s">
        <v>2555</v>
      </c>
      <c r="R83" s="38"/>
    </row>
    <row r="84" spans="1:20">
      <c r="A84" s="5">
        <v>83</v>
      </c>
      <c r="B84" s="5" t="s">
        <v>769</v>
      </c>
      <c r="C84" s="15" t="s">
        <v>770</v>
      </c>
      <c r="D84" s="27" t="s">
        <v>771</v>
      </c>
      <c r="E84" s="5">
        <v>7</v>
      </c>
      <c r="F84" s="5">
        <v>283</v>
      </c>
      <c r="G84" s="5" t="s">
        <v>2551</v>
      </c>
      <c r="H84" s="5">
        <v>3620</v>
      </c>
      <c r="I84" s="5">
        <v>0.83</v>
      </c>
      <c r="J84" s="82">
        <v>45127</v>
      </c>
      <c r="K84" s="82">
        <v>45867</v>
      </c>
      <c r="L84" s="81">
        <f t="shared" si="5"/>
        <v>24</v>
      </c>
      <c r="M84" s="5">
        <f t="shared" si="6"/>
        <v>72110.399999999994</v>
      </c>
      <c r="N84" s="5">
        <f t="shared" si="7"/>
        <v>3004.6</v>
      </c>
      <c r="O84" s="15" t="s">
        <v>772</v>
      </c>
      <c r="P84" s="5" t="s">
        <v>773</v>
      </c>
      <c r="Q84" s="5" t="s">
        <v>2555</v>
      </c>
      <c r="R84" s="38"/>
    </row>
    <row r="85" spans="1:20">
      <c r="A85" s="5">
        <v>84</v>
      </c>
      <c r="B85" s="5" t="s">
        <v>774</v>
      </c>
      <c r="C85" s="15" t="s">
        <v>775</v>
      </c>
      <c r="D85" s="27" t="s">
        <v>776</v>
      </c>
      <c r="E85" s="5">
        <v>7</v>
      </c>
      <c r="F85" s="5">
        <v>284</v>
      </c>
      <c r="G85" s="5" t="s">
        <v>2551</v>
      </c>
      <c r="H85" s="5">
        <v>3620</v>
      </c>
      <c r="I85" s="5">
        <v>0.83</v>
      </c>
      <c r="J85" s="82">
        <v>45127</v>
      </c>
      <c r="K85" s="82">
        <v>45867</v>
      </c>
      <c r="L85" s="81">
        <f t="shared" si="5"/>
        <v>24</v>
      </c>
      <c r="M85" s="5">
        <f t="shared" si="6"/>
        <v>72110.399999999994</v>
      </c>
      <c r="N85" s="5">
        <f t="shared" si="7"/>
        <v>3004.6</v>
      </c>
      <c r="O85" s="28" t="s">
        <v>777</v>
      </c>
      <c r="P85" s="5" t="s">
        <v>778</v>
      </c>
      <c r="Q85" s="5" t="s">
        <v>2555</v>
      </c>
      <c r="R85" s="38"/>
    </row>
    <row r="86" spans="1:20">
      <c r="A86" s="5">
        <v>85</v>
      </c>
      <c r="B86" s="5" t="s">
        <v>779</v>
      </c>
      <c r="C86" s="15" t="s">
        <v>780</v>
      </c>
      <c r="D86" s="27" t="s">
        <v>781</v>
      </c>
      <c r="E86" s="5">
        <v>7</v>
      </c>
      <c r="F86" s="5">
        <v>285</v>
      </c>
      <c r="G86" s="5" t="s">
        <v>2551</v>
      </c>
      <c r="H86" s="5">
        <v>3620</v>
      </c>
      <c r="I86" s="5">
        <v>0.83</v>
      </c>
      <c r="J86" s="82">
        <v>45127</v>
      </c>
      <c r="K86" s="82">
        <v>45867</v>
      </c>
      <c r="L86" s="81">
        <f t="shared" si="5"/>
        <v>24</v>
      </c>
      <c r="M86" s="5">
        <f t="shared" si="6"/>
        <v>72110.399999999994</v>
      </c>
      <c r="N86" s="5">
        <f t="shared" si="7"/>
        <v>3004.6</v>
      </c>
      <c r="O86" s="15" t="s">
        <v>782</v>
      </c>
      <c r="P86" s="5" t="s">
        <v>381</v>
      </c>
      <c r="Q86" s="5" t="s">
        <v>2555</v>
      </c>
      <c r="R86" s="38"/>
    </row>
    <row r="87" spans="1:20">
      <c r="A87" s="5">
        <v>86</v>
      </c>
      <c r="B87" s="5">
        <v>71375</v>
      </c>
      <c r="C87" s="15" t="s">
        <v>783</v>
      </c>
      <c r="D87" s="27" t="s">
        <v>784</v>
      </c>
      <c r="E87" s="5">
        <v>7</v>
      </c>
      <c r="F87" s="5">
        <v>286</v>
      </c>
      <c r="G87" s="5" t="s">
        <v>2551</v>
      </c>
      <c r="H87" s="5">
        <v>3620</v>
      </c>
      <c r="I87" s="5">
        <v>0.83</v>
      </c>
      <c r="J87" s="82">
        <v>45127</v>
      </c>
      <c r="K87" s="82">
        <v>45867</v>
      </c>
      <c r="L87" s="81">
        <f t="shared" si="5"/>
        <v>24</v>
      </c>
      <c r="M87" s="5">
        <f t="shared" si="6"/>
        <v>72110.399999999994</v>
      </c>
      <c r="N87" s="5">
        <f t="shared" si="7"/>
        <v>3004.6</v>
      </c>
      <c r="O87" s="28" t="s">
        <v>785</v>
      </c>
      <c r="P87" s="5" t="s">
        <v>786</v>
      </c>
      <c r="Q87" s="5" t="s">
        <v>2555</v>
      </c>
      <c r="R87" s="38"/>
    </row>
    <row r="88" spans="1:20">
      <c r="A88" s="5">
        <v>87</v>
      </c>
      <c r="B88" s="5" t="s">
        <v>787</v>
      </c>
      <c r="C88" s="15" t="s">
        <v>788</v>
      </c>
      <c r="D88" s="27" t="s">
        <v>789</v>
      </c>
      <c r="E88" s="5">
        <v>7</v>
      </c>
      <c r="F88" s="5">
        <v>287</v>
      </c>
      <c r="G88" s="5" t="s">
        <v>2551</v>
      </c>
      <c r="H88" s="5">
        <v>3620</v>
      </c>
      <c r="I88" s="5">
        <v>0.83</v>
      </c>
      <c r="J88" s="82">
        <v>45127</v>
      </c>
      <c r="K88" s="82">
        <v>45867</v>
      </c>
      <c r="L88" s="81">
        <f t="shared" si="5"/>
        <v>24</v>
      </c>
      <c r="M88" s="5">
        <f t="shared" si="6"/>
        <v>72110.399999999994</v>
      </c>
      <c r="N88" s="5">
        <f t="shared" si="7"/>
        <v>3004.6</v>
      </c>
      <c r="O88" s="15" t="s">
        <v>790</v>
      </c>
      <c r="P88" s="5" t="s">
        <v>791</v>
      </c>
      <c r="Q88" s="5" t="s">
        <v>2555</v>
      </c>
      <c r="R88" s="38"/>
    </row>
    <row r="89" spans="1:20" ht="28.8">
      <c r="A89" s="5">
        <v>88</v>
      </c>
      <c r="B89" s="5" t="s">
        <v>792</v>
      </c>
      <c r="C89" s="15" t="s">
        <v>793</v>
      </c>
      <c r="D89" s="27" t="s">
        <v>794</v>
      </c>
      <c r="E89" s="5">
        <v>7</v>
      </c>
      <c r="F89" s="5">
        <v>288</v>
      </c>
      <c r="G89" s="5" t="s">
        <v>2551</v>
      </c>
      <c r="H89" s="5">
        <v>3620</v>
      </c>
      <c r="I89" s="5">
        <v>0.83</v>
      </c>
      <c r="J89" s="82">
        <v>45127</v>
      </c>
      <c r="K89" s="82">
        <v>45867</v>
      </c>
      <c r="L89" s="81">
        <f t="shared" si="5"/>
        <v>24</v>
      </c>
      <c r="M89" s="5">
        <f t="shared" si="6"/>
        <v>72110.399999999994</v>
      </c>
      <c r="N89" s="5">
        <f t="shared" si="7"/>
        <v>3004.6</v>
      </c>
      <c r="O89" s="28" t="s">
        <v>795</v>
      </c>
      <c r="P89" s="5" t="s">
        <v>796</v>
      </c>
      <c r="Q89" s="5" t="s">
        <v>2555</v>
      </c>
      <c r="R89" s="38"/>
    </row>
    <row r="90" spans="1:20" ht="28.8">
      <c r="A90" s="5">
        <v>89</v>
      </c>
      <c r="B90" s="5" t="s">
        <v>797</v>
      </c>
      <c r="C90" s="15" t="s">
        <v>798</v>
      </c>
      <c r="D90" s="27" t="s">
        <v>799</v>
      </c>
      <c r="E90" s="5">
        <v>7</v>
      </c>
      <c r="F90" s="5">
        <v>289</v>
      </c>
      <c r="G90" s="5" t="s">
        <v>2551</v>
      </c>
      <c r="H90" s="5">
        <v>3620</v>
      </c>
      <c r="I90" s="5">
        <v>0.83</v>
      </c>
      <c r="J90" s="82">
        <v>45127</v>
      </c>
      <c r="K90" s="82">
        <v>45867</v>
      </c>
      <c r="L90" s="81">
        <f t="shared" si="5"/>
        <v>24</v>
      </c>
      <c r="M90" s="5">
        <f t="shared" si="6"/>
        <v>72110.399999999994</v>
      </c>
      <c r="N90" s="5">
        <f t="shared" si="7"/>
        <v>3004.6</v>
      </c>
      <c r="O90" s="28" t="s">
        <v>800</v>
      </c>
      <c r="P90" s="5" t="s">
        <v>801</v>
      </c>
      <c r="Q90" s="5" t="s">
        <v>2555</v>
      </c>
      <c r="R90" s="39"/>
      <c r="S90" s="8">
        <v>2808435</v>
      </c>
      <c r="T90" s="31">
        <v>44236</v>
      </c>
    </row>
    <row r="91" spans="1:20" ht="28.8">
      <c r="A91" s="5">
        <v>90</v>
      </c>
      <c r="B91" s="5">
        <v>71378</v>
      </c>
      <c r="C91" s="15" t="s">
        <v>802</v>
      </c>
      <c r="D91" s="27" t="s">
        <v>803</v>
      </c>
      <c r="E91" s="5">
        <v>7</v>
      </c>
      <c r="F91" s="5">
        <v>290</v>
      </c>
      <c r="G91" s="5" t="s">
        <v>2551</v>
      </c>
      <c r="H91" s="5">
        <v>3620</v>
      </c>
      <c r="I91" s="5">
        <v>0.83</v>
      </c>
      <c r="J91" s="82">
        <v>45127</v>
      </c>
      <c r="K91" s="82">
        <v>45867</v>
      </c>
      <c r="L91" s="81">
        <f t="shared" si="5"/>
        <v>24</v>
      </c>
      <c r="M91" s="5">
        <f t="shared" si="6"/>
        <v>72110.399999999994</v>
      </c>
      <c r="N91" s="5">
        <f t="shared" si="7"/>
        <v>3004.6</v>
      </c>
      <c r="O91" s="28" t="s">
        <v>804</v>
      </c>
      <c r="P91" s="5" t="s">
        <v>805</v>
      </c>
      <c r="Q91" s="5" t="s">
        <v>2555</v>
      </c>
      <c r="R91" s="38"/>
    </row>
    <row r="92" spans="1:20">
      <c r="A92" s="5">
        <v>91</v>
      </c>
      <c r="B92" s="5">
        <v>71213</v>
      </c>
      <c r="C92" s="15" t="s">
        <v>806</v>
      </c>
      <c r="D92" s="7" t="s">
        <v>807</v>
      </c>
      <c r="E92" s="5">
        <v>7</v>
      </c>
      <c r="F92" s="5">
        <v>291</v>
      </c>
      <c r="G92" s="5" t="s">
        <v>2551</v>
      </c>
      <c r="H92" s="5">
        <v>3620</v>
      </c>
      <c r="I92" s="5">
        <v>0.83</v>
      </c>
      <c r="J92" s="82">
        <v>45127</v>
      </c>
      <c r="K92" s="82">
        <v>45867</v>
      </c>
      <c r="L92" s="81">
        <f t="shared" si="5"/>
        <v>24</v>
      </c>
      <c r="M92" s="5">
        <f t="shared" si="6"/>
        <v>72110.399999999994</v>
      </c>
      <c r="N92" s="5">
        <f t="shared" si="7"/>
        <v>3004.6</v>
      </c>
      <c r="O92" s="15" t="s">
        <v>808</v>
      </c>
      <c r="P92" s="40" t="s">
        <v>809</v>
      </c>
      <c r="Q92" s="5" t="s">
        <v>2555</v>
      </c>
      <c r="R92" s="38"/>
    </row>
    <row r="93" spans="1:20">
      <c r="A93" s="5">
        <v>92</v>
      </c>
      <c r="B93" s="5" t="s">
        <v>810</v>
      </c>
      <c r="C93" s="15" t="s">
        <v>811</v>
      </c>
      <c r="D93" s="27" t="s">
        <v>812</v>
      </c>
      <c r="E93" s="5">
        <v>7</v>
      </c>
      <c r="F93" s="5">
        <v>292</v>
      </c>
      <c r="G93" s="5" t="s">
        <v>2551</v>
      </c>
      <c r="H93" s="5">
        <v>3620</v>
      </c>
      <c r="I93" s="5">
        <v>0.83</v>
      </c>
      <c r="J93" s="82">
        <v>45127</v>
      </c>
      <c r="K93" s="82">
        <v>45867</v>
      </c>
      <c r="L93" s="81">
        <f t="shared" si="5"/>
        <v>24</v>
      </c>
      <c r="M93" s="5">
        <f t="shared" si="6"/>
        <v>72110.399999999994</v>
      </c>
      <c r="N93" s="5">
        <f t="shared" si="7"/>
        <v>3004.6</v>
      </c>
      <c r="O93" s="28" t="s">
        <v>813</v>
      </c>
      <c r="P93" s="5" t="s">
        <v>814</v>
      </c>
      <c r="Q93" s="5" t="s">
        <v>2555</v>
      </c>
      <c r="R93" s="38"/>
    </row>
    <row r="94" spans="1:20">
      <c r="A94" s="5">
        <v>93</v>
      </c>
      <c r="B94" s="5">
        <v>71015</v>
      </c>
      <c r="C94" s="15" t="s">
        <v>815</v>
      </c>
      <c r="D94" s="27" t="s">
        <v>816</v>
      </c>
      <c r="E94" s="5">
        <v>7</v>
      </c>
      <c r="F94" s="5">
        <v>293</v>
      </c>
      <c r="G94" s="5" t="s">
        <v>2551</v>
      </c>
      <c r="H94" s="5">
        <v>3620</v>
      </c>
      <c r="I94" s="5">
        <v>0.83</v>
      </c>
      <c r="J94" s="82">
        <v>45127</v>
      </c>
      <c r="K94" s="82">
        <v>45867</v>
      </c>
      <c r="L94" s="81">
        <f t="shared" si="5"/>
        <v>24</v>
      </c>
      <c r="M94" s="5">
        <f t="shared" si="6"/>
        <v>72110.399999999994</v>
      </c>
      <c r="N94" s="5">
        <f t="shared" si="7"/>
        <v>3004.6</v>
      </c>
      <c r="O94" s="15" t="s">
        <v>782</v>
      </c>
      <c r="P94" s="5"/>
      <c r="Q94" s="5" t="s">
        <v>2555</v>
      </c>
      <c r="R94" s="38"/>
    </row>
    <row r="95" spans="1:20">
      <c r="A95" s="5">
        <v>94</v>
      </c>
      <c r="B95" s="5" t="s">
        <v>817</v>
      </c>
      <c r="C95" s="15" t="s">
        <v>818</v>
      </c>
      <c r="D95" s="27" t="s">
        <v>819</v>
      </c>
      <c r="E95" s="5">
        <v>7</v>
      </c>
      <c r="F95" s="5">
        <v>294</v>
      </c>
      <c r="G95" s="5" t="s">
        <v>2551</v>
      </c>
      <c r="H95" s="5">
        <v>3620</v>
      </c>
      <c r="I95" s="5">
        <v>0.83</v>
      </c>
      <c r="J95" s="82">
        <v>45127</v>
      </c>
      <c r="K95" s="82">
        <v>45867</v>
      </c>
      <c r="L95" s="81">
        <f t="shared" si="5"/>
        <v>24</v>
      </c>
      <c r="M95" s="5">
        <f t="shared" si="6"/>
        <v>72110.399999999994</v>
      </c>
      <c r="N95" s="5">
        <f t="shared" si="7"/>
        <v>3004.6</v>
      </c>
      <c r="O95" s="15" t="s">
        <v>820</v>
      </c>
      <c r="P95" s="5" t="s">
        <v>821</v>
      </c>
      <c r="Q95" s="5" t="s">
        <v>2555</v>
      </c>
      <c r="R95" s="38"/>
    </row>
    <row r="96" spans="1:20">
      <c r="A96" s="5">
        <v>95</v>
      </c>
      <c r="B96" s="5">
        <v>71288</v>
      </c>
      <c r="C96" s="15" t="s">
        <v>822</v>
      </c>
      <c r="D96" s="27" t="s">
        <v>823</v>
      </c>
      <c r="E96" s="5">
        <v>7</v>
      </c>
      <c r="F96" s="5">
        <v>295</v>
      </c>
      <c r="G96" s="5" t="s">
        <v>2551</v>
      </c>
      <c r="H96" s="5">
        <v>3620</v>
      </c>
      <c r="I96" s="5">
        <v>0.83</v>
      </c>
      <c r="J96" s="82">
        <v>45127</v>
      </c>
      <c r="K96" s="82">
        <v>45867</v>
      </c>
      <c r="L96" s="81">
        <f t="shared" si="5"/>
        <v>24</v>
      </c>
      <c r="M96" s="5">
        <f t="shared" si="6"/>
        <v>72110.399999999994</v>
      </c>
      <c r="N96" s="5">
        <f t="shared" si="7"/>
        <v>3004.6</v>
      </c>
      <c r="O96" s="15" t="s">
        <v>824</v>
      </c>
      <c r="P96" s="5" t="s">
        <v>825</v>
      </c>
      <c r="Q96" s="5" t="s">
        <v>2555</v>
      </c>
      <c r="R96" s="38"/>
    </row>
    <row r="97" spans="1:18">
      <c r="A97" s="5">
        <v>96</v>
      </c>
      <c r="B97" s="5">
        <v>71336</v>
      </c>
      <c r="C97" s="15" t="s">
        <v>826</v>
      </c>
      <c r="D97" s="27" t="s">
        <v>827</v>
      </c>
      <c r="E97" s="5">
        <v>7</v>
      </c>
      <c r="F97" s="5">
        <v>296</v>
      </c>
      <c r="G97" s="5" t="s">
        <v>2551</v>
      </c>
      <c r="H97" s="5">
        <v>3620</v>
      </c>
      <c r="I97" s="5">
        <v>0.83</v>
      </c>
      <c r="J97" s="82">
        <v>45127</v>
      </c>
      <c r="K97" s="82">
        <v>45867</v>
      </c>
      <c r="L97" s="81">
        <f t="shared" si="5"/>
        <v>24</v>
      </c>
      <c r="M97" s="5">
        <f t="shared" si="6"/>
        <v>72110.399999999994</v>
      </c>
      <c r="N97" s="5">
        <f t="shared" si="7"/>
        <v>3004.6</v>
      </c>
      <c r="O97" s="15" t="s">
        <v>828</v>
      </c>
      <c r="P97" s="5" t="s">
        <v>829</v>
      </c>
      <c r="Q97" s="5" t="s">
        <v>2555</v>
      </c>
      <c r="R97" s="38"/>
    </row>
    <row r="98" spans="1:18" ht="28.8">
      <c r="A98" s="5">
        <v>97</v>
      </c>
      <c r="B98" s="5" t="s">
        <v>830</v>
      </c>
      <c r="C98" s="15" t="s">
        <v>831</v>
      </c>
      <c r="D98" s="27" t="s">
        <v>832</v>
      </c>
      <c r="E98" s="5">
        <v>6</v>
      </c>
      <c r="F98" s="5">
        <v>297</v>
      </c>
      <c r="G98" s="5" t="s">
        <v>2551</v>
      </c>
      <c r="H98" s="5">
        <v>3620</v>
      </c>
      <c r="I98" s="5">
        <v>0.83</v>
      </c>
      <c r="J98" s="82">
        <v>45127</v>
      </c>
      <c r="K98" s="82">
        <v>45867</v>
      </c>
      <c r="L98" s="81">
        <f t="shared" si="5"/>
        <v>24</v>
      </c>
      <c r="M98" s="5">
        <f t="shared" si="6"/>
        <v>72110.399999999994</v>
      </c>
      <c r="N98" s="5">
        <f t="shared" si="7"/>
        <v>3004.6</v>
      </c>
      <c r="O98" s="28" t="s">
        <v>833</v>
      </c>
      <c r="P98" s="5" t="s">
        <v>834</v>
      </c>
      <c r="Q98" s="5" t="s">
        <v>2555</v>
      </c>
      <c r="R98" s="38"/>
    </row>
    <row r="99" spans="1:18">
      <c r="A99" s="5">
        <v>98</v>
      </c>
      <c r="B99" s="5" t="s">
        <v>835</v>
      </c>
      <c r="C99" s="15" t="s">
        <v>836</v>
      </c>
      <c r="D99" s="27" t="s">
        <v>837</v>
      </c>
      <c r="E99" s="5">
        <v>6</v>
      </c>
      <c r="F99" s="5">
        <v>298</v>
      </c>
      <c r="G99" s="5" t="s">
        <v>2551</v>
      </c>
      <c r="H99" s="5">
        <v>3620</v>
      </c>
      <c r="I99" s="5">
        <v>0.83</v>
      </c>
      <c r="J99" s="82">
        <v>45127</v>
      </c>
      <c r="K99" s="82">
        <v>45867</v>
      </c>
      <c r="L99" s="81">
        <f t="shared" si="5"/>
        <v>24</v>
      </c>
      <c r="M99" s="5">
        <f t="shared" si="6"/>
        <v>72110.399999999994</v>
      </c>
      <c r="N99" s="5">
        <f t="shared" si="7"/>
        <v>3004.6</v>
      </c>
      <c r="O99" s="15" t="s">
        <v>838</v>
      </c>
      <c r="P99" s="5" t="s">
        <v>839</v>
      </c>
      <c r="Q99" s="5" t="s">
        <v>2555</v>
      </c>
      <c r="R99" s="38"/>
    </row>
    <row r="100" spans="1:18">
      <c r="A100" s="5">
        <v>99</v>
      </c>
      <c r="B100" s="5">
        <v>42247</v>
      </c>
      <c r="C100" s="15" t="s">
        <v>840</v>
      </c>
      <c r="D100" s="27" t="s">
        <v>841</v>
      </c>
      <c r="E100" s="5">
        <v>6</v>
      </c>
      <c r="F100" s="5">
        <v>299</v>
      </c>
      <c r="G100" s="5" t="s">
        <v>2551</v>
      </c>
      <c r="H100" s="5">
        <v>3620</v>
      </c>
      <c r="I100" s="5">
        <v>0.83</v>
      </c>
      <c r="J100" s="82">
        <v>45127</v>
      </c>
      <c r="K100" s="82">
        <v>45867</v>
      </c>
      <c r="L100" s="81">
        <f t="shared" si="5"/>
        <v>24</v>
      </c>
      <c r="M100" s="5">
        <f t="shared" si="6"/>
        <v>72110.399999999994</v>
      </c>
      <c r="N100" s="5">
        <f t="shared" si="7"/>
        <v>3004.6</v>
      </c>
      <c r="O100" s="15" t="s">
        <v>842</v>
      </c>
      <c r="P100" s="5" t="s">
        <v>843</v>
      </c>
      <c r="Q100" s="5" t="s">
        <v>2555</v>
      </c>
      <c r="R100" s="38"/>
    </row>
    <row r="101" spans="1:18" ht="28.8">
      <c r="A101" s="5">
        <v>100</v>
      </c>
      <c r="B101" s="5" t="s">
        <v>2507</v>
      </c>
      <c r="C101" s="15" t="s">
        <v>2506</v>
      </c>
      <c r="D101" s="27" t="s">
        <v>2508</v>
      </c>
      <c r="E101" s="5">
        <v>6</v>
      </c>
      <c r="F101" s="5">
        <v>300</v>
      </c>
      <c r="G101" s="5" t="s">
        <v>2551</v>
      </c>
      <c r="H101" s="5">
        <v>3620</v>
      </c>
      <c r="I101" s="5">
        <v>0.83</v>
      </c>
      <c r="J101" s="82">
        <v>45127</v>
      </c>
      <c r="K101" s="82">
        <v>45867</v>
      </c>
      <c r="L101" s="81">
        <f t="shared" si="5"/>
        <v>24</v>
      </c>
      <c r="M101" s="5">
        <f t="shared" si="6"/>
        <v>72110.399999999994</v>
      </c>
      <c r="N101" s="5">
        <f t="shared" si="7"/>
        <v>3004.6</v>
      </c>
      <c r="O101" s="15" t="s">
        <v>48</v>
      </c>
      <c r="P101" s="5"/>
      <c r="Q101" s="5" t="s">
        <v>2555</v>
      </c>
      <c r="R101" s="38"/>
    </row>
    <row r="102" spans="1:18">
      <c r="A102" s="5">
        <v>101</v>
      </c>
      <c r="B102" s="5">
        <v>71236</v>
      </c>
      <c r="C102" s="15" t="s">
        <v>844</v>
      </c>
      <c r="D102" s="27" t="s">
        <v>845</v>
      </c>
      <c r="E102" s="5">
        <v>6</v>
      </c>
      <c r="F102" s="5">
        <v>301</v>
      </c>
      <c r="G102" s="5" t="s">
        <v>2551</v>
      </c>
      <c r="H102" s="5">
        <v>3620</v>
      </c>
      <c r="I102" s="5">
        <v>0.83</v>
      </c>
      <c r="J102" s="82">
        <v>45127</v>
      </c>
      <c r="K102" s="82">
        <v>45867</v>
      </c>
      <c r="L102" s="81">
        <f t="shared" si="5"/>
        <v>24</v>
      </c>
      <c r="M102" s="5">
        <f t="shared" si="6"/>
        <v>72110.399999999994</v>
      </c>
      <c r="N102" s="5">
        <f t="shared" si="7"/>
        <v>3004.6</v>
      </c>
      <c r="O102" s="15" t="s">
        <v>846</v>
      </c>
      <c r="P102" s="5" t="s">
        <v>847</v>
      </c>
      <c r="Q102" s="5" t="s">
        <v>2555</v>
      </c>
      <c r="R102" s="38"/>
    </row>
    <row r="103" spans="1:18">
      <c r="A103" s="5">
        <v>102</v>
      </c>
      <c r="B103" s="5" t="s">
        <v>848</v>
      </c>
      <c r="C103" s="15" t="s">
        <v>849</v>
      </c>
      <c r="D103" s="27" t="s">
        <v>851</v>
      </c>
      <c r="E103" s="5">
        <v>6</v>
      </c>
      <c r="F103" s="5" t="s">
        <v>850</v>
      </c>
      <c r="G103" s="5" t="s">
        <v>2551</v>
      </c>
      <c r="H103" s="5">
        <v>3620</v>
      </c>
      <c r="I103" s="5">
        <v>0.83</v>
      </c>
      <c r="J103" s="82">
        <v>45127</v>
      </c>
      <c r="K103" s="82">
        <v>45867</v>
      </c>
      <c r="L103" s="81">
        <f t="shared" si="5"/>
        <v>24</v>
      </c>
      <c r="M103" s="5">
        <f t="shared" si="6"/>
        <v>72110.399999999994</v>
      </c>
      <c r="N103" s="5">
        <f t="shared" si="7"/>
        <v>3004.6</v>
      </c>
      <c r="O103" s="15" t="s">
        <v>852</v>
      </c>
      <c r="P103" s="5" t="s">
        <v>853</v>
      </c>
      <c r="Q103" s="5" t="s">
        <v>2555</v>
      </c>
      <c r="R103" s="38"/>
    </row>
    <row r="104" spans="1:18">
      <c r="A104" s="5">
        <v>103</v>
      </c>
      <c r="B104" s="5">
        <v>71321</v>
      </c>
      <c r="C104" s="15" t="s">
        <v>854</v>
      </c>
      <c r="D104" s="27" t="s">
        <v>855</v>
      </c>
      <c r="E104" s="5">
        <v>6</v>
      </c>
      <c r="F104" s="5">
        <v>303</v>
      </c>
      <c r="G104" s="5" t="s">
        <v>2551</v>
      </c>
      <c r="H104" s="5">
        <v>3620</v>
      </c>
      <c r="I104" s="5">
        <v>0.83</v>
      </c>
      <c r="J104" s="82">
        <v>45127</v>
      </c>
      <c r="K104" s="82">
        <v>45867</v>
      </c>
      <c r="L104" s="81">
        <f t="shared" si="5"/>
        <v>24</v>
      </c>
      <c r="M104" s="5">
        <f t="shared" si="6"/>
        <v>72110.399999999994</v>
      </c>
      <c r="N104" s="5">
        <f t="shared" si="7"/>
        <v>3004.6</v>
      </c>
      <c r="O104" s="15" t="s">
        <v>856</v>
      </c>
      <c r="P104" s="5" t="s">
        <v>857</v>
      </c>
      <c r="Q104" s="5" t="s">
        <v>2555</v>
      </c>
      <c r="R104" s="38"/>
    </row>
    <row r="105" spans="1:18" ht="28.8">
      <c r="A105" s="5">
        <v>104</v>
      </c>
      <c r="B105" s="5" t="s">
        <v>858</v>
      </c>
      <c r="C105" s="15" t="s">
        <v>859</v>
      </c>
      <c r="D105" s="27" t="s">
        <v>860</v>
      </c>
      <c r="E105" s="5">
        <v>6</v>
      </c>
      <c r="F105" s="5">
        <v>304</v>
      </c>
      <c r="G105" s="5" t="s">
        <v>2551</v>
      </c>
      <c r="H105" s="5">
        <v>3620</v>
      </c>
      <c r="I105" s="5">
        <v>0.83</v>
      </c>
      <c r="J105" s="82">
        <v>45127</v>
      </c>
      <c r="K105" s="82">
        <v>45867</v>
      </c>
      <c r="L105" s="81">
        <f t="shared" si="5"/>
        <v>24</v>
      </c>
      <c r="M105" s="5">
        <f t="shared" si="6"/>
        <v>72110.399999999994</v>
      </c>
      <c r="N105" s="5">
        <f t="shared" si="7"/>
        <v>3004.6</v>
      </c>
      <c r="O105" s="15" t="s">
        <v>861</v>
      </c>
      <c r="P105" s="5" t="s">
        <v>862</v>
      </c>
      <c r="Q105" s="5" t="s">
        <v>2555</v>
      </c>
      <c r="R105" s="38"/>
    </row>
    <row r="106" spans="1:18">
      <c r="A106" s="5">
        <v>105</v>
      </c>
      <c r="B106" s="5" t="s">
        <v>863</v>
      </c>
      <c r="C106" s="15" t="s">
        <v>864</v>
      </c>
      <c r="D106" s="27" t="s">
        <v>865</v>
      </c>
      <c r="E106" s="5">
        <v>6</v>
      </c>
      <c r="F106" s="5">
        <v>305</v>
      </c>
      <c r="G106" s="5" t="s">
        <v>2551</v>
      </c>
      <c r="H106" s="5">
        <v>3620</v>
      </c>
      <c r="I106" s="5">
        <v>0.83</v>
      </c>
      <c r="J106" s="82">
        <v>45127</v>
      </c>
      <c r="K106" s="82">
        <v>45867</v>
      </c>
      <c r="L106" s="81">
        <f t="shared" si="5"/>
        <v>24</v>
      </c>
      <c r="M106" s="5">
        <f t="shared" si="6"/>
        <v>72110.399999999994</v>
      </c>
      <c r="N106" s="5">
        <f t="shared" si="7"/>
        <v>3004.6</v>
      </c>
      <c r="O106" s="15" t="s">
        <v>866</v>
      </c>
      <c r="P106" s="5" t="s">
        <v>867</v>
      </c>
      <c r="Q106" s="5" t="s">
        <v>2555</v>
      </c>
      <c r="R106" s="38"/>
    </row>
    <row r="107" spans="1:18">
      <c r="A107" s="5">
        <v>106</v>
      </c>
      <c r="B107" s="5" t="s">
        <v>868</v>
      </c>
      <c r="C107" s="15" t="s">
        <v>869</v>
      </c>
      <c r="D107" s="27" t="s">
        <v>870</v>
      </c>
      <c r="E107" s="5">
        <v>6</v>
      </c>
      <c r="F107" s="5">
        <v>306</v>
      </c>
      <c r="G107" s="5" t="s">
        <v>2551</v>
      </c>
      <c r="H107" s="5">
        <v>3620</v>
      </c>
      <c r="I107" s="5">
        <v>0.83</v>
      </c>
      <c r="J107" s="82">
        <v>45127</v>
      </c>
      <c r="K107" s="82">
        <v>45867</v>
      </c>
      <c r="L107" s="81">
        <f t="shared" si="5"/>
        <v>24</v>
      </c>
      <c r="M107" s="5">
        <f t="shared" si="6"/>
        <v>72110.399999999994</v>
      </c>
      <c r="N107" s="5">
        <f t="shared" si="7"/>
        <v>3004.6</v>
      </c>
      <c r="O107" s="28" t="s">
        <v>871</v>
      </c>
      <c r="P107" s="5" t="s">
        <v>872</v>
      </c>
      <c r="Q107" s="5" t="s">
        <v>2555</v>
      </c>
      <c r="R107" s="38"/>
    </row>
    <row r="108" spans="1:18">
      <c r="A108" s="5">
        <v>107</v>
      </c>
      <c r="B108" s="5">
        <v>71068</v>
      </c>
      <c r="C108" s="15" t="s">
        <v>873</v>
      </c>
      <c r="D108" s="27" t="s">
        <v>874</v>
      </c>
      <c r="E108" s="5">
        <v>6</v>
      </c>
      <c r="F108" s="5">
        <v>307</v>
      </c>
      <c r="G108" s="5" t="s">
        <v>2551</v>
      </c>
      <c r="H108" s="5">
        <v>3620</v>
      </c>
      <c r="I108" s="5">
        <v>0.83</v>
      </c>
      <c r="J108" s="82">
        <v>45127</v>
      </c>
      <c r="K108" s="82">
        <v>45867</v>
      </c>
      <c r="L108" s="81">
        <f t="shared" si="5"/>
        <v>24</v>
      </c>
      <c r="M108" s="5">
        <f t="shared" ref="M108:M110" si="8">N108*L108</f>
        <v>120000</v>
      </c>
      <c r="N108" s="5">
        <v>5000</v>
      </c>
      <c r="O108" s="15" t="s">
        <v>875</v>
      </c>
      <c r="P108" s="5" t="s">
        <v>876</v>
      </c>
      <c r="Q108" s="5" t="s">
        <v>2557</v>
      </c>
      <c r="R108" s="38"/>
    </row>
    <row r="109" spans="1:18">
      <c r="A109" s="5">
        <v>108</v>
      </c>
      <c r="B109" s="5" t="s">
        <v>877</v>
      </c>
      <c r="C109" s="15" t="s">
        <v>878</v>
      </c>
      <c r="D109" s="27" t="s">
        <v>879</v>
      </c>
      <c r="E109" s="5">
        <v>6</v>
      </c>
      <c r="F109" s="5">
        <v>308</v>
      </c>
      <c r="G109" s="5" t="s">
        <v>2551</v>
      </c>
      <c r="H109" s="5">
        <v>3620</v>
      </c>
      <c r="I109" s="5">
        <v>0.83</v>
      </c>
      <c r="J109" s="82">
        <v>45127</v>
      </c>
      <c r="K109" s="82">
        <v>45867</v>
      </c>
      <c r="L109" s="81">
        <f t="shared" si="5"/>
        <v>24</v>
      </c>
      <c r="M109" s="5">
        <f t="shared" si="8"/>
        <v>120000</v>
      </c>
      <c r="N109" s="5">
        <v>5000</v>
      </c>
      <c r="O109" s="15" t="s">
        <v>880</v>
      </c>
      <c r="P109" s="5" t="s">
        <v>881</v>
      </c>
      <c r="Q109" s="5" t="s">
        <v>2557</v>
      </c>
      <c r="R109" s="38"/>
    </row>
    <row r="110" spans="1:18">
      <c r="A110" s="5">
        <v>109</v>
      </c>
      <c r="B110" s="5">
        <v>71182</v>
      </c>
      <c r="C110" s="15" t="s">
        <v>882</v>
      </c>
      <c r="D110" s="27" t="s">
        <v>641</v>
      </c>
      <c r="E110" s="5">
        <v>6</v>
      </c>
      <c r="F110" s="5">
        <v>309</v>
      </c>
      <c r="G110" s="5" t="s">
        <v>2551</v>
      </c>
      <c r="H110" s="5">
        <v>3620</v>
      </c>
      <c r="I110" s="5">
        <v>0.83</v>
      </c>
      <c r="J110" s="82">
        <v>45127</v>
      </c>
      <c r="K110" s="82">
        <v>45867</v>
      </c>
      <c r="L110" s="81">
        <f t="shared" si="5"/>
        <v>24</v>
      </c>
      <c r="M110" s="5">
        <f t="shared" si="8"/>
        <v>120000</v>
      </c>
      <c r="N110" s="5">
        <v>5000</v>
      </c>
      <c r="O110" s="15" t="s">
        <v>883</v>
      </c>
      <c r="P110" s="5" t="s">
        <v>643</v>
      </c>
      <c r="Q110" s="5" t="s">
        <v>2557</v>
      </c>
      <c r="R110" s="38"/>
    </row>
    <row r="111" spans="1:18" ht="43.2">
      <c r="A111" s="57">
        <v>110</v>
      </c>
      <c r="B111" s="57">
        <v>71326</v>
      </c>
      <c r="C111" s="58" t="s">
        <v>884</v>
      </c>
      <c r="D111" s="62" t="s">
        <v>885</v>
      </c>
      <c r="E111" s="57">
        <v>6</v>
      </c>
      <c r="F111" s="57">
        <v>310</v>
      </c>
      <c r="G111" s="57" t="s">
        <v>2551</v>
      </c>
      <c r="H111" s="5">
        <v>3620</v>
      </c>
      <c r="I111" s="5">
        <v>0.83</v>
      </c>
      <c r="J111" s="82">
        <v>45127</v>
      </c>
      <c r="K111" s="82">
        <v>45867</v>
      </c>
      <c r="L111" s="81">
        <f t="shared" si="5"/>
        <v>24</v>
      </c>
      <c r="M111" s="5">
        <f t="shared" si="6"/>
        <v>72110.399999999994</v>
      </c>
      <c r="N111" s="5">
        <f t="shared" si="7"/>
        <v>3004.6</v>
      </c>
      <c r="O111" s="58" t="s">
        <v>2351</v>
      </c>
      <c r="P111" s="57" t="s">
        <v>886</v>
      </c>
      <c r="Q111" s="57" t="s">
        <v>2555</v>
      </c>
      <c r="R111" s="60"/>
    </row>
    <row r="112" spans="1:18" ht="28.8">
      <c r="A112" s="5">
        <v>111</v>
      </c>
      <c r="B112" s="5" t="s">
        <v>887</v>
      </c>
      <c r="C112" s="15" t="s">
        <v>888</v>
      </c>
      <c r="D112" s="27" t="s">
        <v>889</v>
      </c>
      <c r="E112" s="5">
        <v>6</v>
      </c>
      <c r="F112" s="5">
        <v>311</v>
      </c>
      <c r="G112" s="5" t="s">
        <v>2551</v>
      </c>
      <c r="H112" s="5">
        <v>3620</v>
      </c>
      <c r="I112" s="5">
        <v>0.83</v>
      </c>
      <c r="J112" s="82">
        <v>45127</v>
      </c>
      <c r="K112" s="82">
        <v>45867</v>
      </c>
      <c r="L112" s="81">
        <f t="shared" si="5"/>
        <v>24</v>
      </c>
      <c r="M112" s="5">
        <f>N112*L112</f>
        <v>120000</v>
      </c>
      <c r="N112" s="5">
        <v>5000</v>
      </c>
      <c r="O112" s="28" t="s">
        <v>890</v>
      </c>
      <c r="P112" s="5" t="s">
        <v>891</v>
      </c>
      <c r="Q112" s="5" t="s">
        <v>2557</v>
      </c>
      <c r="R112" s="38"/>
    </row>
    <row r="113" spans="1:18">
      <c r="A113" s="5">
        <v>112</v>
      </c>
      <c r="B113" s="5">
        <v>71052</v>
      </c>
      <c r="C113" s="15" t="s">
        <v>892</v>
      </c>
      <c r="D113" s="27" t="s">
        <v>893</v>
      </c>
      <c r="E113" s="5">
        <v>6</v>
      </c>
      <c r="F113" s="5">
        <v>312</v>
      </c>
      <c r="G113" s="5" t="s">
        <v>2551</v>
      </c>
      <c r="H113" s="5">
        <v>3620</v>
      </c>
      <c r="I113" s="5">
        <v>0.83</v>
      </c>
      <c r="J113" s="82">
        <v>45127</v>
      </c>
      <c r="K113" s="82">
        <v>45867</v>
      </c>
      <c r="L113" s="81">
        <f t="shared" si="5"/>
        <v>24</v>
      </c>
      <c r="M113" s="5">
        <f t="shared" si="6"/>
        <v>72110.399999999994</v>
      </c>
      <c r="N113" s="5">
        <f t="shared" si="7"/>
        <v>3004.6</v>
      </c>
      <c r="O113" s="15" t="s">
        <v>808</v>
      </c>
      <c r="P113" s="5" t="s">
        <v>809</v>
      </c>
      <c r="Q113" s="5" t="s">
        <v>2553</v>
      </c>
      <c r="R113" s="38"/>
    </row>
    <row r="114" spans="1:18">
      <c r="A114" s="5">
        <v>113</v>
      </c>
      <c r="B114" s="5" t="s">
        <v>894</v>
      </c>
      <c r="C114" s="15" t="s">
        <v>895</v>
      </c>
      <c r="D114" s="27" t="s">
        <v>896</v>
      </c>
      <c r="E114" s="5">
        <v>6</v>
      </c>
      <c r="F114" s="5">
        <v>313</v>
      </c>
      <c r="G114" s="5" t="s">
        <v>2551</v>
      </c>
      <c r="H114" s="5">
        <v>3620</v>
      </c>
      <c r="I114" s="5">
        <v>0.83</v>
      </c>
      <c r="J114" s="82">
        <v>45127</v>
      </c>
      <c r="K114" s="82">
        <v>45867</v>
      </c>
      <c r="L114" s="81">
        <f t="shared" si="5"/>
        <v>24</v>
      </c>
      <c r="M114" s="5">
        <f t="shared" si="6"/>
        <v>72110.399999999994</v>
      </c>
      <c r="N114" s="5">
        <f t="shared" si="7"/>
        <v>3004.6</v>
      </c>
      <c r="O114" s="28" t="s">
        <v>897</v>
      </c>
      <c r="P114" s="5" t="s">
        <v>898</v>
      </c>
      <c r="Q114" s="5" t="s">
        <v>2553</v>
      </c>
      <c r="R114" s="38"/>
    </row>
    <row r="115" spans="1:18">
      <c r="A115" s="5">
        <v>114</v>
      </c>
      <c r="B115" s="5" t="s">
        <v>899</v>
      </c>
      <c r="C115" s="15" t="s">
        <v>900</v>
      </c>
      <c r="D115" s="27" t="s">
        <v>901</v>
      </c>
      <c r="E115" s="5">
        <v>6</v>
      </c>
      <c r="F115" s="5">
        <v>314</v>
      </c>
      <c r="G115" s="5" t="s">
        <v>2551</v>
      </c>
      <c r="H115" s="5">
        <v>3620</v>
      </c>
      <c r="I115" s="5">
        <v>0.83</v>
      </c>
      <c r="J115" s="82">
        <v>45127</v>
      </c>
      <c r="K115" s="82">
        <v>45867</v>
      </c>
      <c r="L115" s="81">
        <f t="shared" si="5"/>
        <v>24</v>
      </c>
      <c r="M115" s="5">
        <f t="shared" si="6"/>
        <v>72110.399999999994</v>
      </c>
      <c r="N115" s="5">
        <f t="shared" si="7"/>
        <v>3004.6</v>
      </c>
      <c r="O115" s="15" t="s">
        <v>902</v>
      </c>
      <c r="P115" s="5"/>
      <c r="Q115" s="5" t="s">
        <v>2553</v>
      </c>
      <c r="R115" s="38"/>
    </row>
    <row r="116" spans="1:18">
      <c r="A116" s="5">
        <v>115</v>
      </c>
      <c r="B116" s="5" t="s">
        <v>903</v>
      </c>
      <c r="C116" s="15" t="s">
        <v>904</v>
      </c>
      <c r="D116" s="27" t="s">
        <v>905</v>
      </c>
      <c r="E116" s="5">
        <v>6</v>
      </c>
      <c r="F116" s="5">
        <v>315</v>
      </c>
      <c r="G116" s="5" t="s">
        <v>2551</v>
      </c>
      <c r="H116" s="5">
        <v>3620</v>
      </c>
      <c r="I116" s="5">
        <v>0.83</v>
      </c>
      <c r="J116" s="82">
        <v>45127</v>
      </c>
      <c r="K116" s="82">
        <v>45867</v>
      </c>
      <c r="L116" s="81">
        <f t="shared" si="5"/>
        <v>24</v>
      </c>
      <c r="M116" s="5">
        <f t="shared" si="6"/>
        <v>72110.399999999994</v>
      </c>
      <c r="N116" s="5">
        <f t="shared" si="7"/>
        <v>3004.6</v>
      </c>
      <c r="O116" s="15" t="s">
        <v>906</v>
      </c>
      <c r="P116" s="5" t="s">
        <v>907</v>
      </c>
      <c r="Q116" s="5" t="s">
        <v>2553</v>
      </c>
      <c r="R116" s="38"/>
    </row>
    <row r="117" spans="1:18" ht="28.8">
      <c r="A117" s="5">
        <v>116</v>
      </c>
      <c r="B117" s="5" t="s">
        <v>908</v>
      </c>
      <c r="C117" s="15" t="s">
        <v>81</v>
      </c>
      <c r="D117" s="27" t="s">
        <v>82</v>
      </c>
      <c r="E117" s="5">
        <v>6</v>
      </c>
      <c r="F117" s="5">
        <v>316</v>
      </c>
      <c r="G117" s="5" t="s">
        <v>2551</v>
      </c>
      <c r="H117" s="5">
        <v>3620</v>
      </c>
      <c r="I117" s="5">
        <v>0.83</v>
      </c>
      <c r="J117" s="82">
        <v>45127</v>
      </c>
      <c r="K117" s="82">
        <v>45867</v>
      </c>
      <c r="L117" s="81">
        <f t="shared" si="5"/>
        <v>24</v>
      </c>
      <c r="M117" s="5">
        <f t="shared" si="6"/>
        <v>72110.399999999994</v>
      </c>
      <c r="N117" s="5">
        <f t="shared" si="7"/>
        <v>3004.6</v>
      </c>
      <c r="O117" s="15" t="s">
        <v>2376</v>
      </c>
      <c r="P117" s="5" t="s">
        <v>83</v>
      </c>
      <c r="Q117" s="5" t="s">
        <v>2553</v>
      </c>
      <c r="R117" s="38"/>
    </row>
    <row r="118" spans="1:18" ht="28.8">
      <c r="A118" s="5">
        <v>117</v>
      </c>
      <c r="B118" s="5" t="s">
        <v>909</v>
      </c>
      <c r="C118" s="15" t="s">
        <v>910</v>
      </c>
      <c r="D118" s="27" t="s">
        <v>911</v>
      </c>
      <c r="E118" s="5">
        <v>6</v>
      </c>
      <c r="F118" s="5">
        <v>317</v>
      </c>
      <c r="G118" s="5" t="s">
        <v>2551</v>
      </c>
      <c r="H118" s="5">
        <v>3620</v>
      </c>
      <c r="I118" s="5">
        <v>0.83</v>
      </c>
      <c r="J118" s="82">
        <v>45127</v>
      </c>
      <c r="K118" s="82">
        <v>45867</v>
      </c>
      <c r="L118" s="81">
        <f t="shared" si="5"/>
        <v>24</v>
      </c>
      <c r="M118" s="5">
        <f t="shared" si="6"/>
        <v>72110.399999999994</v>
      </c>
      <c r="N118" s="5">
        <f t="shared" si="7"/>
        <v>3004.6</v>
      </c>
      <c r="O118" s="15" t="s">
        <v>912</v>
      </c>
      <c r="P118" s="5" t="s">
        <v>913</v>
      </c>
      <c r="Q118" s="5" t="s">
        <v>2553</v>
      </c>
      <c r="R118" s="38"/>
    </row>
    <row r="119" spans="1:18">
      <c r="A119" s="5">
        <v>118</v>
      </c>
      <c r="B119" s="5">
        <v>71138</v>
      </c>
      <c r="C119" s="15" t="s">
        <v>914</v>
      </c>
      <c r="D119" s="27" t="s">
        <v>915</v>
      </c>
      <c r="E119" s="5">
        <v>6</v>
      </c>
      <c r="F119" s="5">
        <v>318</v>
      </c>
      <c r="G119" s="5" t="s">
        <v>2551</v>
      </c>
      <c r="H119" s="5">
        <v>3620</v>
      </c>
      <c r="I119" s="5">
        <v>0.83</v>
      </c>
      <c r="J119" s="82">
        <v>45127</v>
      </c>
      <c r="K119" s="82">
        <v>45867</v>
      </c>
      <c r="L119" s="81">
        <f t="shared" si="5"/>
        <v>24</v>
      </c>
      <c r="M119" s="5">
        <f t="shared" si="6"/>
        <v>72110.399999999994</v>
      </c>
      <c r="N119" s="5">
        <f t="shared" si="7"/>
        <v>3004.6</v>
      </c>
      <c r="O119" s="15" t="s">
        <v>916</v>
      </c>
      <c r="P119" s="5" t="s">
        <v>917</v>
      </c>
      <c r="Q119" s="5" t="s">
        <v>2553</v>
      </c>
      <c r="R119" s="38"/>
    </row>
    <row r="120" spans="1:18">
      <c r="A120" s="5">
        <v>119</v>
      </c>
      <c r="B120" s="5">
        <v>71129</v>
      </c>
      <c r="C120" s="15" t="s">
        <v>918</v>
      </c>
      <c r="D120" s="27" t="s">
        <v>919</v>
      </c>
      <c r="E120" s="5">
        <v>6</v>
      </c>
      <c r="F120" s="5">
        <v>319</v>
      </c>
      <c r="G120" s="5" t="s">
        <v>2551</v>
      </c>
      <c r="H120" s="5">
        <v>3620</v>
      </c>
      <c r="I120" s="5">
        <v>0.83</v>
      </c>
      <c r="J120" s="82">
        <v>45127</v>
      </c>
      <c r="K120" s="82">
        <v>45867</v>
      </c>
      <c r="L120" s="81">
        <f t="shared" si="5"/>
        <v>24</v>
      </c>
      <c r="M120" s="5">
        <f t="shared" si="6"/>
        <v>72110.399999999994</v>
      </c>
      <c r="N120" s="5">
        <f t="shared" si="7"/>
        <v>3004.6</v>
      </c>
      <c r="O120" s="15" t="s">
        <v>920</v>
      </c>
      <c r="P120" s="5" t="s">
        <v>921</v>
      </c>
      <c r="Q120" s="5" t="s">
        <v>2553</v>
      </c>
      <c r="R120" s="38"/>
    </row>
    <row r="121" spans="1:18">
      <c r="A121" s="5">
        <v>120</v>
      </c>
      <c r="B121" s="5" t="s">
        <v>922</v>
      </c>
      <c r="C121" s="15" t="s">
        <v>923</v>
      </c>
      <c r="D121" s="27" t="s">
        <v>924</v>
      </c>
      <c r="E121" s="5">
        <v>6</v>
      </c>
      <c r="F121" s="5">
        <v>320</v>
      </c>
      <c r="G121" s="5" t="s">
        <v>2551</v>
      </c>
      <c r="H121" s="5">
        <v>3620</v>
      </c>
      <c r="I121" s="5">
        <v>0.83</v>
      </c>
      <c r="J121" s="82">
        <v>45127</v>
      </c>
      <c r="K121" s="82">
        <v>45867</v>
      </c>
      <c r="L121" s="81">
        <f t="shared" si="5"/>
        <v>24</v>
      </c>
      <c r="M121" s="5">
        <f t="shared" si="6"/>
        <v>72110.399999999994</v>
      </c>
      <c r="N121" s="5">
        <f t="shared" si="7"/>
        <v>3004.6</v>
      </c>
      <c r="O121" s="15" t="s">
        <v>925</v>
      </c>
      <c r="P121" s="5" t="s">
        <v>926</v>
      </c>
      <c r="Q121" s="5" t="s">
        <v>2553</v>
      </c>
      <c r="R121" s="38"/>
    </row>
    <row r="122" spans="1:18" ht="28.8">
      <c r="A122" s="5">
        <v>121</v>
      </c>
      <c r="B122" s="5">
        <v>71153</v>
      </c>
      <c r="C122" s="15" t="s">
        <v>927</v>
      </c>
      <c r="D122" s="27" t="s">
        <v>928</v>
      </c>
      <c r="E122" s="5">
        <v>6</v>
      </c>
      <c r="F122" s="5">
        <v>321</v>
      </c>
      <c r="G122" s="5" t="s">
        <v>2551</v>
      </c>
      <c r="H122" s="5">
        <v>3620</v>
      </c>
      <c r="I122" s="5">
        <v>0.83</v>
      </c>
      <c r="J122" s="82">
        <v>45127</v>
      </c>
      <c r="K122" s="82">
        <v>45867</v>
      </c>
      <c r="L122" s="81">
        <f t="shared" si="5"/>
        <v>24</v>
      </c>
      <c r="M122" s="5">
        <f t="shared" si="6"/>
        <v>72110.399999999994</v>
      </c>
      <c r="N122" s="5">
        <f t="shared" si="7"/>
        <v>3004.6</v>
      </c>
      <c r="O122" s="15" t="s">
        <v>929</v>
      </c>
      <c r="P122" s="5" t="s">
        <v>930</v>
      </c>
      <c r="Q122" s="5" t="s">
        <v>2553</v>
      </c>
      <c r="R122" s="38"/>
    </row>
    <row r="123" spans="1:18">
      <c r="A123" s="5">
        <v>122</v>
      </c>
      <c r="B123" s="5" t="s">
        <v>931</v>
      </c>
      <c r="C123" s="15" t="s">
        <v>932</v>
      </c>
      <c r="D123" s="27" t="s">
        <v>933</v>
      </c>
      <c r="E123" s="5">
        <v>6</v>
      </c>
      <c r="F123" s="5">
        <v>322</v>
      </c>
      <c r="G123" s="5" t="s">
        <v>2551</v>
      </c>
      <c r="H123" s="5">
        <v>3620</v>
      </c>
      <c r="I123" s="5">
        <v>0.83</v>
      </c>
      <c r="J123" s="82">
        <v>45127</v>
      </c>
      <c r="K123" s="82">
        <v>45867</v>
      </c>
      <c r="L123" s="81">
        <f t="shared" si="5"/>
        <v>24</v>
      </c>
      <c r="M123" s="5">
        <f>N123*L123</f>
        <v>120000</v>
      </c>
      <c r="N123" s="5">
        <v>5000</v>
      </c>
      <c r="O123" s="15" t="s">
        <v>934</v>
      </c>
      <c r="P123" s="5" t="s">
        <v>935</v>
      </c>
      <c r="Q123" s="5" t="s">
        <v>2557</v>
      </c>
      <c r="R123" s="38"/>
    </row>
    <row r="124" spans="1:18">
      <c r="A124" s="5">
        <v>123</v>
      </c>
      <c r="B124" s="5" t="s">
        <v>936</v>
      </c>
      <c r="C124" s="15" t="s">
        <v>937</v>
      </c>
      <c r="D124" s="27" t="s">
        <v>938</v>
      </c>
      <c r="E124" s="5">
        <v>6</v>
      </c>
      <c r="F124" s="5">
        <v>323</v>
      </c>
      <c r="G124" s="5" t="s">
        <v>2551</v>
      </c>
      <c r="H124" s="5">
        <v>3620</v>
      </c>
      <c r="I124" s="5">
        <v>0.83</v>
      </c>
      <c r="J124" s="82">
        <v>45127</v>
      </c>
      <c r="K124" s="82">
        <v>45867</v>
      </c>
      <c r="L124" s="81">
        <f t="shared" si="5"/>
        <v>24</v>
      </c>
      <c r="M124" s="5">
        <f t="shared" si="6"/>
        <v>72110.399999999994</v>
      </c>
      <c r="N124" s="5">
        <f t="shared" si="7"/>
        <v>3004.6</v>
      </c>
      <c r="O124" s="28" t="s">
        <v>939</v>
      </c>
      <c r="P124" s="5" t="s">
        <v>940</v>
      </c>
      <c r="Q124" s="5" t="s">
        <v>2555</v>
      </c>
      <c r="R124" s="38"/>
    </row>
    <row r="125" spans="1:18">
      <c r="A125" s="5">
        <v>124</v>
      </c>
      <c r="B125" s="5" t="s">
        <v>941</v>
      </c>
      <c r="C125" s="15" t="s">
        <v>942</v>
      </c>
      <c r="D125" s="27" t="s">
        <v>943</v>
      </c>
      <c r="E125" s="5">
        <v>5</v>
      </c>
      <c r="F125" s="5">
        <v>324</v>
      </c>
      <c r="G125" s="5" t="s">
        <v>2551</v>
      </c>
      <c r="H125" s="5">
        <v>3620</v>
      </c>
      <c r="I125" s="5">
        <v>0.83</v>
      </c>
      <c r="J125" s="82">
        <v>45127</v>
      </c>
      <c r="K125" s="82">
        <v>45867</v>
      </c>
      <c r="L125" s="81">
        <f t="shared" si="5"/>
        <v>24</v>
      </c>
      <c r="M125" s="5">
        <f t="shared" si="6"/>
        <v>72110.399999999994</v>
      </c>
      <c r="N125" s="5">
        <f t="shared" si="7"/>
        <v>3004.6</v>
      </c>
      <c r="O125" s="15" t="s">
        <v>944</v>
      </c>
      <c r="P125" s="5" t="s">
        <v>945</v>
      </c>
      <c r="Q125" s="5" t="s">
        <v>2555</v>
      </c>
      <c r="R125" s="38"/>
    </row>
    <row r="126" spans="1:18" ht="28.8">
      <c r="A126" s="5">
        <v>125</v>
      </c>
      <c r="B126" s="5">
        <v>71059</v>
      </c>
      <c r="C126" s="15" t="s">
        <v>946</v>
      </c>
      <c r="D126" s="27" t="s">
        <v>947</v>
      </c>
      <c r="E126" s="5">
        <v>5</v>
      </c>
      <c r="F126" s="5">
        <v>325</v>
      </c>
      <c r="G126" s="5" t="s">
        <v>2551</v>
      </c>
      <c r="H126" s="5">
        <v>3620</v>
      </c>
      <c r="I126" s="5">
        <v>0.83</v>
      </c>
      <c r="J126" s="82">
        <v>45127</v>
      </c>
      <c r="K126" s="82">
        <v>45867</v>
      </c>
      <c r="L126" s="81">
        <f t="shared" si="5"/>
        <v>24</v>
      </c>
      <c r="M126" s="5">
        <f t="shared" ref="M126:M127" si="9">N126*L126</f>
        <v>120000</v>
      </c>
      <c r="N126" s="5">
        <v>5000</v>
      </c>
      <c r="O126" s="15" t="s">
        <v>948</v>
      </c>
      <c r="P126" s="5" t="s">
        <v>949</v>
      </c>
      <c r="Q126" s="5" t="s">
        <v>2554</v>
      </c>
      <c r="R126" s="38"/>
    </row>
    <row r="127" spans="1:18">
      <c r="A127" s="5">
        <v>126</v>
      </c>
      <c r="B127" s="5" t="s">
        <v>950</v>
      </c>
      <c r="C127" s="15" t="s">
        <v>951</v>
      </c>
      <c r="D127" s="27" t="s">
        <v>952</v>
      </c>
      <c r="E127" s="5">
        <v>5</v>
      </c>
      <c r="F127" s="5">
        <v>326</v>
      </c>
      <c r="G127" s="5" t="s">
        <v>2551</v>
      </c>
      <c r="H127" s="5">
        <v>3620</v>
      </c>
      <c r="I127" s="5">
        <v>0.83</v>
      </c>
      <c r="J127" s="82">
        <v>45127</v>
      </c>
      <c r="K127" s="82">
        <v>45867</v>
      </c>
      <c r="L127" s="81">
        <f t="shared" si="5"/>
        <v>24</v>
      </c>
      <c r="M127" s="5">
        <f t="shared" si="9"/>
        <v>120000</v>
      </c>
      <c r="N127" s="5">
        <v>5000</v>
      </c>
      <c r="O127" s="15" t="s">
        <v>953</v>
      </c>
      <c r="P127" s="5" t="s">
        <v>954</v>
      </c>
      <c r="Q127" s="5" t="s">
        <v>2557</v>
      </c>
      <c r="R127" s="38"/>
    </row>
    <row r="128" spans="1:18">
      <c r="A128" s="5">
        <v>127</v>
      </c>
      <c r="B128" s="5">
        <v>71340</v>
      </c>
      <c r="C128" s="15" t="s">
        <v>955</v>
      </c>
      <c r="D128" s="27" t="s">
        <v>956</v>
      </c>
      <c r="E128" s="5">
        <v>5</v>
      </c>
      <c r="F128" s="5">
        <v>327</v>
      </c>
      <c r="G128" s="5" t="s">
        <v>2551</v>
      </c>
      <c r="H128" s="5">
        <v>3620</v>
      </c>
      <c r="I128" s="5">
        <v>0.83</v>
      </c>
      <c r="J128" s="82">
        <v>45127</v>
      </c>
      <c r="K128" s="82">
        <v>45867</v>
      </c>
      <c r="L128" s="81">
        <f t="shared" si="5"/>
        <v>24</v>
      </c>
      <c r="M128" s="5">
        <f t="shared" si="6"/>
        <v>72110.399999999994</v>
      </c>
      <c r="N128" s="5">
        <f t="shared" si="7"/>
        <v>3004.6</v>
      </c>
      <c r="O128" s="15" t="s">
        <v>957</v>
      </c>
      <c r="P128" s="5" t="s">
        <v>958</v>
      </c>
      <c r="Q128" s="5" t="s">
        <v>2553</v>
      </c>
      <c r="R128" s="38"/>
    </row>
    <row r="129" spans="1:18">
      <c r="A129" s="5">
        <v>128</v>
      </c>
      <c r="B129" s="5" t="s">
        <v>959</v>
      </c>
      <c r="C129" s="15" t="s">
        <v>960</v>
      </c>
      <c r="D129" s="27" t="s">
        <v>961</v>
      </c>
      <c r="E129" s="5">
        <v>5</v>
      </c>
      <c r="F129" s="5">
        <v>328</v>
      </c>
      <c r="G129" s="5" t="s">
        <v>2551</v>
      </c>
      <c r="H129" s="5">
        <v>3620</v>
      </c>
      <c r="I129" s="5">
        <v>0.83</v>
      </c>
      <c r="J129" s="82">
        <v>45127</v>
      </c>
      <c r="K129" s="82">
        <v>45867</v>
      </c>
      <c r="L129" s="81">
        <f t="shared" si="5"/>
        <v>24</v>
      </c>
      <c r="M129" s="5">
        <f t="shared" si="6"/>
        <v>72110.399999999994</v>
      </c>
      <c r="N129" s="5">
        <f t="shared" si="7"/>
        <v>3004.6</v>
      </c>
      <c r="O129" s="28" t="s">
        <v>962</v>
      </c>
      <c r="P129" s="5" t="s">
        <v>963</v>
      </c>
      <c r="Q129" s="5" t="s">
        <v>2553</v>
      </c>
      <c r="R129" s="38"/>
    </row>
    <row r="130" spans="1:18" ht="43.2">
      <c r="A130" s="5">
        <v>129</v>
      </c>
      <c r="B130" s="5" t="s">
        <v>964</v>
      </c>
      <c r="C130" s="15" t="s">
        <v>798</v>
      </c>
      <c r="D130" s="27" t="s">
        <v>799</v>
      </c>
      <c r="E130" s="5">
        <v>5</v>
      </c>
      <c r="F130" s="5">
        <v>329</v>
      </c>
      <c r="G130" s="5" t="s">
        <v>2551</v>
      </c>
      <c r="H130" s="5">
        <v>3620</v>
      </c>
      <c r="I130" s="5">
        <v>0.83</v>
      </c>
      <c r="J130" s="82">
        <v>45127</v>
      </c>
      <c r="K130" s="82">
        <v>45867</v>
      </c>
      <c r="L130" s="81">
        <f t="shared" si="5"/>
        <v>24</v>
      </c>
      <c r="M130" s="5">
        <f t="shared" si="6"/>
        <v>72110.399999999994</v>
      </c>
      <c r="N130" s="5">
        <f t="shared" si="7"/>
        <v>3004.6</v>
      </c>
      <c r="O130" s="15" t="s">
        <v>965</v>
      </c>
      <c r="P130" s="5" t="s">
        <v>801</v>
      </c>
      <c r="Q130" s="5" t="s">
        <v>2553</v>
      </c>
      <c r="R130" s="38"/>
    </row>
    <row r="131" spans="1:18">
      <c r="A131" s="5">
        <v>130</v>
      </c>
      <c r="B131" s="32" t="s">
        <v>2404</v>
      </c>
      <c r="C131" s="78" t="s">
        <v>2407</v>
      </c>
      <c r="D131" s="79" t="s">
        <v>2405</v>
      </c>
      <c r="E131" s="5">
        <v>5</v>
      </c>
      <c r="F131" s="5">
        <v>330</v>
      </c>
      <c r="G131" s="5" t="s">
        <v>2551</v>
      </c>
      <c r="H131" s="5">
        <v>3620</v>
      </c>
      <c r="I131" s="5">
        <v>0.83</v>
      </c>
      <c r="J131" s="82">
        <v>45127</v>
      </c>
      <c r="K131" s="82">
        <v>45867</v>
      </c>
      <c r="L131" s="81">
        <f t="shared" ref="L131:L179" si="10">DATEDIF(J131,K131,"M")</f>
        <v>24</v>
      </c>
      <c r="M131" s="5">
        <f t="shared" ref="M131:M179" si="11">I131*H131*L131</f>
        <v>72110.399999999994</v>
      </c>
      <c r="N131" s="5">
        <f t="shared" ref="N131:N179" si="12">M131/24</f>
        <v>3004.6</v>
      </c>
      <c r="O131" s="15" t="s">
        <v>966</v>
      </c>
      <c r="P131" s="80" t="s">
        <v>2406</v>
      </c>
      <c r="Q131" s="5" t="s">
        <v>2553</v>
      </c>
      <c r="R131" s="38"/>
    </row>
    <row r="132" spans="1:18">
      <c r="A132" s="5">
        <v>131</v>
      </c>
      <c r="B132" s="5" t="s">
        <v>2496</v>
      </c>
      <c r="C132" s="15" t="s">
        <v>2495</v>
      </c>
      <c r="D132" s="27" t="s">
        <v>2497</v>
      </c>
      <c r="E132" s="5">
        <v>5</v>
      </c>
      <c r="F132" s="5">
        <v>331</v>
      </c>
      <c r="G132" s="5" t="s">
        <v>2551</v>
      </c>
      <c r="H132" s="5">
        <v>3620</v>
      </c>
      <c r="I132" s="5">
        <v>0.83</v>
      </c>
      <c r="J132" s="82">
        <v>45127</v>
      </c>
      <c r="K132" s="82">
        <v>45867</v>
      </c>
      <c r="L132" s="81">
        <f t="shared" si="10"/>
        <v>24</v>
      </c>
      <c r="M132" s="5">
        <f>N132*L132</f>
        <v>120000</v>
      </c>
      <c r="N132" s="5">
        <v>5000</v>
      </c>
      <c r="O132" s="28" t="s">
        <v>2498</v>
      </c>
      <c r="P132" s="5" t="s">
        <v>2499</v>
      </c>
      <c r="Q132" s="5" t="s">
        <v>2554</v>
      </c>
      <c r="R132" s="38"/>
    </row>
    <row r="133" spans="1:18" ht="28.8">
      <c r="A133" s="5">
        <v>132</v>
      </c>
      <c r="B133" s="5" t="s">
        <v>2342</v>
      </c>
      <c r="C133" s="15" t="s">
        <v>2341</v>
      </c>
      <c r="D133" s="27" t="s">
        <v>2343</v>
      </c>
      <c r="E133" s="5">
        <v>5</v>
      </c>
      <c r="F133" s="5">
        <v>332</v>
      </c>
      <c r="G133" s="5" t="s">
        <v>2551</v>
      </c>
      <c r="H133" s="5">
        <v>3620</v>
      </c>
      <c r="I133" s="5">
        <v>0.83</v>
      </c>
      <c r="J133" s="82">
        <v>45127</v>
      </c>
      <c r="K133" s="82">
        <v>45867</v>
      </c>
      <c r="L133" s="81">
        <f t="shared" si="10"/>
        <v>24</v>
      </c>
      <c r="M133" s="5">
        <f t="shared" si="11"/>
        <v>72110.399999999994</v>
      </c>
      <c r="N133" s="5">
        <f t="shared" si="12"/>
        <v>3004.6</v>
      </c>
      <c r="O133" s="15" t="s">
        <v>2344</v>
      </c>
      <c r="P133" s="5" t="s">
        <v>2345</v>
      </c>
      <c r="Q133" s="5" t="s">
        <v>2553</v>
      </c>
      <c r="R133" s="38"/>
    </row>
    <row r="134" spans="1:18" ht="28.8">
      <c r="A134" s="57">
        <v>133</v>
      </c>
      <c r="B134" s="57" t="s">
        <v>2525</v>
      </c>
      <c r="C134" s="58" t="s">
        <v>2524</v>
      </c>
      <c r="D134" s="59" t="s">
        <v>2526</v>
      </c>
      <c r="E134" s="57">
        <v>5</v>
      </c>
      <c r="F134" s="57">
        <v>333</v>
      </c>
      <c r="G134" s="57" t="s">
        <v>2551</v>
      </c>
      <c r="H134" s="5">
        <v>3620</v>
      </c>
      <c r="I134" s="5">
        <v>0.83</v>
      </c>
      <c r="J134" s="82">
        <v>45127</v>
      </c>
      <c r="K134" s="82">
        <v>45867</v>
      </c>
      <c r="L134" s="81">
        <f t="shared" si="10"/>
        <v>24</v>
      </c>
      <c r="M134" s="5">
        <f>N134*L134</f>
        <v>120000</v>
      </c>
      <c r="N134" s="5">
        <v>5000</v>
      </c>
      <c r="O134" s="63" t="s">
        <v>2527</v>
      </c>
      <c r="P134" s="57" t="s">
        <v>2528</v>
      </c>
      <c r="Q134" s="57" t="s">
        <v>2557</v>
      </c>
      <c r="R134" s="60"/>
    </row>
    <row r="135" spans="1:18">
      <c r="A135" s="5">
        <v>134</v>
      </c>
      <c r="B135" s="5" t="s">
        <v>969</v>
      </c>
      <c r="C135" s="15" t="s">
        <v>970</v>
      </c>
      <c r="D135" s="27" t="s">
        <v>971</v>
      </c>
      <c r="E135" s="5">
        <v>5</v>
      </c>
      <c r="F135" s="5">
        <v>334</v>
      </c>
      <c r="G135" s="5" t="s">
        <v>2551</v>
      </c>
      <c r="H135" s="5">
        <v>3620</v>
      </c>
      <c r="I135" s="5">
        <v>0.83</v>
      </c>
      <c r="J135" s="82">
        <v>45127</v>
      </c>
      <c r="K135" s="82">
        <v>45867</v>
      </c>
      <c r="L135" s="81">
        <f t="shared" si="10"/>
        <v>24</v>
      </c>
      <c r="M135" s="5">
        <f t="shared" si="11"/>
        <v>72110.399999999994</v>
      </c>
      <c r="N135" s="5">
        <f t="shared" si="12"/>
        <v>3004.6</v>
      </c>
      <c r="O135" s="28" t="s">
        <v>972</v>
      </c>
      <c r="P135" s="5" t="s">
        <v>973</v>
      </c>
      <c r="Q135" s="5" t="s">
        <v>2555</v>
      </c>
      <c r="R135" s="38"/>
    </row>
    <row r="136" spans="1:18">
      <c r="A136" s="5">
        <v>135</v>
      </c>
      <c r="B136" s="5">
        <v>71057</v>
      </c>
      <c r="C136" s="15" t="s">
        <v>974</v>
      </c>
      <c r="D136" s="27" t="s">
        <v>975</v>
      </c>
      <c r="E136" s="5">
        <v>5</v>
      </c>
      <c r="F136" s="5">
        <v>335</v>
      </c>
      <c r="G136" s="5" t="s">
        <v>2551</v>
      </c>
      <c r="H136" s="5">
        <v>3620</v>
      </c>
      <c r="I136" s="5">
        <v>0.83</v>
      </c>
      <c r="J136" s="82">
        <v>45127</v>
      </c>
      <c r="K136" s="82">
        <v>45867</v>
      </c>
      <c r="L136" s="81">
        <f t="shared" si="10"/>
        <v>24</v>
      </c>
      <c r="M136" s="5">
        <f t="shared" si="11"/>
        <v>72110.399999999994</v>
      </c>
      <c r="N136" s="5">
        <f t="shared" si="12"/>
        <v>3004.6</v>
      </c>
      <c r="O136" s="15" t="s">
        <v>808</v>
      </c>
      <c r="P136" s="5" t="s">
        <v>976</v>
      </c>
      <c r="Q136" s="5" t="s">
        <v>2555</v>
      </c>
      <c r="R136" s="38"/>
    </row>
    <row r="137" spans="1:18">
      <c r="A137" s="5">
        <v>136</v>
      </c>
      <c r="B137" s="5" t="s">
        <v>977</v>
      </c>
      <c r="C137" s="15" t="s">
        <v>978</v>
      </c>
      <c r="D137" s="27" t="s">
        <v>979</v>
      </c>
      <c r="E137" s="5">
        <v>5</v>
      </c>
      <c r="F137" s="5">
        <v>336</v>
      </c>
      <c r="G137" s="5" t="s">
        <v>2551</v>
      </c>
      <c r="H137" s="5">
        <v>3620</v>
      </c>
      <c r="I137" s="5">
        <v>0.83</v>
      </c>
      <c r="J137" s="82">
        <v>45127</v>
      </c>
      <c r="K137" s="82">
        <v>45867</v>
      </c>
      <c r="L137" s="81">
        <f t="shared" si="10"/>
        <v>24</v>
      </c>
      <c r="M137" s="5">
        <f t="shared" si="11"/>
        <v>72110.399999999994</v>
      </c>
      <c r="N137" s="5">
        <f t="shared" si="12"/>
        <v>3004.6</v>
      </c>
      <c r="O137" s="15" t="s">
        <v>980</v>
      </c>
      <c r="P137" s="5" t="s">
        <v>981</v>
      </c>
      <c r="Q137" s="5" t="s">
        <v>2555</v>
      </c>
      <c r="R137" s="38"/>
    </row>
    <row r="138" spans="1:18" ht="28.8">
      <c r="A138" s="5">
        <v>137</v>
      </c>
      <c r="B138" s="5" t="s">
        <v>982</v>
      </c>
      <c r="C138" s="15" t="s">
        <v>983</v>
      </c>
      <c r="D138" s="27" t="s">
        <v>985</v>
      </c>
      <c r="E138" s="5">
        <v>5</v>
      </c>
      <c r="F138" s="5" t="s">
        <v>984</v>
      </c>
      <c r="G138" s="5" t="s">
        <v>2551</v>
      </c>
      <c r="H138" s="5">
        <v>3620</v>
      </c>
      <c r="I138" s="5">
        <v>0.83</v>
      </c>
      <c r="J138" s="82">
        <v>45127</v>
      </c>
      <c r="K138" s="82">
        <v>45867</v>
      </c>
      <c r="L138" s="81">
        <f t="shared" si="10"/>
        <v>24</v>
      </c>
      <c r="M138" s="5">
        <f t="shared" si="11"/>
        <v>72110.399999999994</v>
      </c>
      <c r="N138" s="5">
        <f t="shared" si="12"/>
        <v>3004.6</v>
      </c>
      <c r="O138" s="15" t="s">
        <v>986</v>
      </c>
      <c r="P138" s="5" t="s">
        <v>987</v>
      </c>
      <c r="Q138" s="5" t="s">
        <v>2555</v>
      </c>
      <c r="R138" s="38"/>
    </row>
    <row r="139" spans="1:18" ht="28.8">
      <c r="A139" s="5">
        <v>138</v>
      </c>
      <c r="B139" s="5">
        <v>71099</v>
      </c>
      <c r="C139" s="15" t="s">
        <v>988</v>
      </c>
      <c r="D139" s="27" t="s">
        <v>989</v>
      </c>
      <c r="E139" s="5">
        <v>5</v>
      </c>
      <c r="F139" s="5">
        <v>337</v>
      </c>
      <c r="G139" s="5" t="s">
        <v>2551</v>
      </c>
      <c r="H139" s="5">
        <v>3620</v>
      </c>
      <c r="I139" s="5">
        <v>0.83</v>
      </c>
      <c r="J139" s="82">
        <v>45127</v>
      </c>
      <c r="K139" s="82">
        <v>45867</v>
      </c>
      <c r="L139" s="81">
        <f t="shared" si="10"/>
        <v>24</v>
      </c>
      <c r="M139" s="5">
        <f t="shared" si="11"/>
        <v>72110.399999999994</v>
      </c>
      <c r="N139" s="5">
        <f t="shared" si="12"/>
        <v>3004.6</v>
      </c>
      <c r="O139" s="15" t="s">
        <v>990</v>
      </c>
      <c r="P139" s="5" t="s">
        <v>991</v>
      </c>
      <c r="Q139" s="5" t="s">
        <v>2555</v>
      </c>
      <c r="R139" s="38"/>
    </row>
    <row r="140" spans="1:18">
      <c r="A140" s="5">
        <v>139</v>
      </c>
      <c r="B140" s="5">
        <v>71266</v>
      </c>
      <c r="C140" s="15" t="s">
        <v>992</v>
      </c>
      <c r="D140" s="27" t="s">
        <v>993</v>
      </c>
      <c r="E140" s="5">
        <v>5</v>
      </c>
      <c r="F140" s="5">
        <v>338</v>
      </c>
      <c r="G140" s="5" t="s">
        <v>2551</v>
      </c>
      <c r="H140" s="5">
        <v>3620</v>
      </c>
      <c r="I140" s="5">
        <v>0.83</v>
      </c>
      <c r="J140" s="82">
        <v>45127</v>
      </c>
      <c r="K140" s="82">
        <v>45867</v>
      </c>
      <c r="L140" s="81">
        <f t="shared" si="10"/>
        <v>24</v>
      </c>
      <c r="M140" s="5">
        <f t="shared" si="11"/>
        <v>72110.399999999994</v>
      </c>
      <c r="N140" s="5">
        <f t="shared" si="12"/>
        <v>3004.6</v>
      </c>
      <c r="O140" s="15" t="s">
        <v>994</v>
      </c>
      <c r="P140" s="5" t="s">
        <v>995</v>
      </c>
      <c r="Q140" s="5" t="s">
        <v>2555</v>
      </c>
      <c r="R140" s="38"/>
    </row>
    <row r="141" spans="1:18">
      <c r="A141" s="5">
        <v>140</v>
      </c>
      <c r="B141" s="5" t="s">
        <v>996</v>
      </c>
      <c r="C141" s="15" t="s">
        <v>396</v>
      </c>
      <c r="D141" s="27" t="s">
        <v>997</v>
      </c>
      <c r="E141" s="5">
        <v>5</v>
      </c>
      <c r="F141" s="5">
        <v>339</v>
      </c>
      <c r="G141" s="5" t="s">
        <v>2551</v>
      </c>
      <c r="H141" s="5">
        <v>3620</v>
      </c>
      <c r="I141" s="5">
        <v>0.83</v>
      </c>
      <c r="J141" s="82">
        <v>45127</v>
      </c>
      <c r="K141" s="82">
        <v>45867</v>
      </c>
      <c r="L141" s="81">
        <f t="shared" si="10"/>
        <v>24</v>
      </c>
      <c r="M141" s="5">
        <f t="shared" si="11"/>
        <v>72110.399999999994</v>
      </c>
      <c r="N141" s="5">
        <f t="shared" si="12"/>
        <v>3004.6</v>
      </c>
      <c r="O141" s="15" t="s">
        <v>998</v>
      </c>
      <c r="P141" s="5" t="s">
        <v>999</v>
      </c>
      <c r="Q141" s="5" t="s">
        <v>2555</v>
      </c>
      <c r="R141" s="38"/>
    </row>
    <row r="142" spans="1:18" ht="28.8">
      <c r="A142" s="5">
        <v>141</v>
      </c>
      <c r="B142" s="5" t="s">
        <v>1000</v>
      </c>
      <c r="C142" s="15" t="s">
        <v>1001</v>
      </c>
      <c r="D142" s="27" t="s">
        <v>1002</v>
      </c>
      <c r="E142" s="5">
        <v>5</v>
      </c>
      <c r="F142" s="5">
        <v>340</v>
      </c>
      <c r="G142" s="5" t="s">
        <v>2551</v>
      </c>
      <c r="H142" s="5">
        <v>3620</v>
      </c>
      <c r="I142" s="5">
        <v>0.83</v>
      </c>
      <c r="J142" s="82">
        <v>45127</v>
      </c>
      <c r="K142" s="82">
        <v>45867</v>
      </c>
      <c r="L142" s="81">
        <f t="shared" si="10"/>
        <v>24</v>
      </c>
      <c r="M142" s="5">
        <f t="shared" si="11"/>
        <v>72110.399999999994</v>
      </c>
      <c r="N142" s="5">
        <f t="shared" si="12"/>
        <v>3004.6</v>
      </c>
      <c r="O142" s="15" t="s">
        <v>1003</v>
      </c>
      <c r="P142" s="5" t="s">
        <v>1004</v>
      </c>
      <c r="Q142" s="5" t="s">
        <v>2555</v>
      </c>
      <c r="R142" s="38"/>
    </row>
    <row r="143" spans="1:18">
      <c r="A143" s="5">
        <v>142</v>
      </c>
      <c r="B143" s="5" t="s">
        <v>1005</v>
      </c>
      <c r="C143" s="15" t="s">
        <v>1006</v>
      </c>
      <c r="D143" s="27" t="s">
        <v>1007</v>
      </c>
      <c r="E143" s="5">
        <v>5</v>
      </c>
      <c r="F143" s="5">
        <v>341</v>
      </c>
      <c r="G143" s="5" t="s">
        <v>2551</v>
      </c>
      <c r="H143" s="5">
        <v>3620</v>
      </c>
      <c r="I143" s="5">
        <v>0.83</v>
      </c>
      <c r="J143" s="82">
        <v>45127</v>
      </c>
      <c r="K143" s="82">
        <v>45867</v>
      </c>
      <c r="L143" s="81">
        <f t="shared" si="10"/>
        <v>24</v>
      </c>
      <c r="M143" s="5">
        <f>N143*L143</f>
        <v>120000</v>
      </c>
      <c r="N143" s="5">
        <v>5000</v>
      </c>
      <c r="O143" s="15" t="s">
        <v>1008</v>
      </c>
      <c r="P143" s="5" t="s">
        <v>1009</v>
      </c>
      <c r="Q143" s="5" t="s">
        <v>2557</v>
      </c>
      <c r="R143" s="38"/>
    </row>
    <row r="144" spans="1:18" ht="28.8">
      <c r="A144" s="5">
        <v>143</v>
      </c>
      <c r="B144" s="5">
        <v>71387</v>
      </c>
      <c r="C144" s="15" t="s">
        <v>1010</v>
      </c>
      <c r="D144" s="27" t="s">
        <v>1011</v>
      </c>
      <c r="E144" s="5">
        <v>5</v>
      </c>
      <c r="F144" s="5">
        <v>342</v>
      </c>
      <c r="G144" s="5" t="s">
        <v>2551</v>
      </c>
      <c r="H144" s="5">
        <v>3620</v>
      </c>
      <c r="I144" s="5">
        <v>0.83</v>
      </c>
      <c r="J144" s="82">
        <v>45127</v>
      </c>
      <c r="K144" s="82">
        <v>45867</v>
      </c>
      <c r="L144" s="81">
        <f t="shared" si="10"/>
        <v>24</v>
      </c>
      <c r="M144" s="5">
        <f t="shared" si="11"/>
        <v>72110.399999999994</v>
      </c>
      <c r="N144" s="5">
        <f t="shared" si="12"/>
        <v>3004.6</v>
      </c>
      <c r="O144" s="28" t="s">
        <v>1012</v>
      </c>
      <c r="P144" s="5" t="s">
        <v>1013</v>
      </c>
      <c r="Q144" s="5" t="s">
        <v>2555</v>
      </c>
      <c r="R144" s="38"/>
    </row>
    <row r="145" spans="1:18">
      <c r="A145" s="5">
        <v>144</v>
      </c>
      <c r="B145" s="5" t="s">
        <v>1014</v>
      </c>
      <c r="C145" s="15" t="s">
        <v>159</v>
      </c>
      <c r="D145" s="27" t="s">
        <v>1015</v>
      </c>
      <c r="E145" s="5">
        <v>5</v>
      </c>
      <c r="F145" s="5">
        <v>343</v>
      </c>
      <c r="G145" s="5" t="s">
        <v>2551</v>
      </c>
      <c r="H145" s="5">
        <v>3620</v>
      </c>
      <c r="I145" s="5">
        <v>0.83</v>
      </c>
      <c r="J145" s="82">
        <v>45127</v>
      </c>
      <c r="K145" s="82">
        <v>45867</v>
      </c>
      <c r="L145" s="81">
        <f t="shared" si="10"/>
        <v>24</v>
      </c>
      <c r="M145" s="5">
        <f t="shared" si="11"/>
        <v>72110.399999999994</v>
      </c>
      <c r="N145" s="5">
        <f t="shared" si="12"/>
        <v>3004.6</v>
      </c>
      <c r="O145" s="15" t="s">
        <v>1016</v>
      </c>
      <c r="P145" s="5" t="s">
        <v>1017</v>
      </c>
      <c r="Q145" s="5" t="s">
        <v>2555</v>
      </c>
      <c r="R145" s="38"/>
    </row>
    <row r="146" spans="1:18">
      <c r="A146" s="5">
        <v>145</v>
      </c>
      <c r="B146" s="5" t="s">
        <v>1018</v>
      </c>
      <c r="C146" s="15" t="s">
        <v>1019</v>
      </c>
      <c r="D146" s="27" t="s">
        <v>1020</v>
      </c>
      <c r="E146" s="5">
        <v>5</v>
      </c>
      <c r="F146" s="5">
        <v>344</v>
      </c>
      <c r="G146" s="5" t="s">
        <v>2551</v>
      </c>
      <c r="H146" s="5">
        <v>3620</v>
      </c>
      <c r="I146" s="5">
        <v>0.83</v>
      </c>
      <c r="J146" s="82">
        <v>45127</v>
      </c>
      <c r="K146" s="82">
        <v>45867</v>
      </c>
      <c r="L146" s="81">
        <f t="shared" si="10"/>
        <v>24</v>
      </c>
      <c r="M146" s="5">
        <f t="shared" si="11"/>
        <v>72110.399999999994</v>
      </c>
      <c r="N146" s="5">
        <f t="shared" si="12"/>
        <v>3004.6</v>
      </c>
      <c r="O146" s="15" t="s">
        <v>1021</v>
      </c>
      <c r="P146" s="5" t="s">
        <v>1022</v>
      </c>
      <c r="Q146" s="5" t="s">
        <v>2555</v>
      </c>
      <c r="R146" s="38"/>
    </row>
    <row r="147" spans="1:18" ht="28.8">
      <c r="A147" s="5">
        <v>146</v>
      </c>
      <c r="B147" s="5">
        <v>71158</v>
      </c>
      <c r="C147" s="15" t="s">
        <v>1023</v>
      </c>
      <c r="D147" s="27" t="s">
        <v>1024</v>
      </c>
      <c r="E147" s="5">
        <v>5</v>
      </c>
      <c r="F147" s="5">
        <v>345</v>
      </c>
      <c r="G147" s="5" t="s">
        <v>2551</v>
      </c>
      <c r="H147" s="5">
        <v>3620</v>
      </c>
      <c r="I147" s="5">
        <v>0.83</v>
      </c>
      <c r="J147" s="82">
        <v>45127</v>
      </c>
      <c r="K147" s="82">
        <v>45867</v>
      </c>
      <c r="L147" s="81">
        <f t="shared" si="10"/>
        <v>24</v>
      </c>
      <c r="M147" s="5">
        <f t="shared" si="11"/>
        <v>72110.399999999994</v>
      </c>
      <c r="N147" s="5">
        <f t="shared" si="12"/>
        <v>3004.6</v>
      </c>
      <c r="O147" s="15" t="s">
        <v>1025</v>
      </c>
      <c r="P147" s="5" t="s">
        <v>1026</v>
      </c>
      <c r="Q147" s="5" t="s">
        <v>2555</v>
      </c>
      <c r="R147" s="38"/>
    </row>
    <row r="148" spans="1:18">
      <c r="A148" s="5">
        <v>147</v>
      </c>
      <c r="B148" s="5" t="s">
        <v>1027</v>
      </c>
      <c r="C148" s="15" t="s">
        <v>1028</v>
      </c>
      <c r="D148" s="27" t="s">
        <v>1029</v>
      </c>
      <c r="E148" s="5">
        <v>5</v>
      </c>
      <c r="F148" s="5">
        <v>346</v>
      </c>
      <c r="G148" s="5" t="s">
        <v>2551</v>
      </c>
      <c r="H148" s="5">
        <v>3620</v>
      </c>
      <c r="I148" s="5">
        <v>0.83</v>
      </c>
      <c r="J148" s="82">
        <v>45127</v>
      </c>
      <c r="K148" s="82">
        <v>45867</v>
      </c>
      <c r="L148" s="81">
        <f t="shared" si="10"/>
        <v>24</v>
      </c>
      <c r="M148" s="5">
        <f t="shared" si="11"/>
        <v>72110.399999999994</v>
      </c>
      <c r="N148" s="5">
        <f t="shared" si="12"/>
        <v>3004.6</v>
      </c>
      <c r="O148" s="15" t="s">
        <v>1030</v>
      </c>
      <c r="P148" s="5" t="s">
        <v>1031</v>
      </c>
      <c r="Q148" s="5" t="s">
        <v>2555</v>
      </c>
      <c r="R148" s="38"/>
    </row>
    <row r="149" spans="1:18" ht="28.8">
      <c r="A149" s="5">
        <v>148</v>
      </c>
      <c r="B149" s="5" t="s">
        <v>2347</v>
      </c>
      <c r="C149" s="15" t="s">
        <v>2346</v>
      </c>
      <c r="D149" s="27" t="s">
        <v>2348</v>
      </c>
      <c r="E149" s="5">
        <v>5</v>
      </c>
      <c r="F149" s="5">
        <v>347</v>
      </c>
      <c r="G149" s="5" t="s">
        <v>2551</v>
      </c>
      <c r="H149" s="5">
        <v>3620</v>
      </c>
      <c r="I149" s="5">
        <v>0.83</v>
      </c>
      <c r="J149" s="82">
        <v>45127</v>
      </c>
      <c r="K149" s="82">
        <v>45867</v>
      </c>
      <c r="L149" s="81">
        <f t="shared" si="10"/>
        <v>24</v>
      </c>
      <c r="M149" s="5">
        <f t="shared" si="11"/>
        <v>72110.399999999994</v>
      </c>
      <c r="N149" s="5">
        <f t="shared" si="12"/>
        <v>3004.6</v>
      </c>
      <c r="O149" s="15" t="s">
        <v>2349</v>
      </c>
      <c r="P149" s="5" t="s">
        <v>1032</v>
      </c>
      <c r="Q149" s="5" t="s">
        <v>2555</v>
      </c>
      <c r="R149" s="38"/>
    </row>
    <row r="150" spans="1:18">
      <c r="A150" s="5">
        <v>149</v>
      </c>
      <c r="B150" s="5">
        <v>71122</v>
      </c>
      <c r="C150" s="15" t="s">
        <v>1033</v>
      </c>
      <c r="D150" s="27" t="s">
        <v>1034</v>
      </c>
      <c r="E150" s="5">
        <v>5</v>
      </c>
      <c r="F150" s="5">
        <v>348</v>
      </c>
      <c r="G150" s="5" t="s">
        <v>2551</v>
      </c>
      <c r="H150" s="5">
        <v>3620</v>
      </c>
      <c r="I150" s="5">
        <v>0.83</v>
      </c>
      <c r="J150" s="82">
        <v>45127</v>
      </c>
      <c r="K150" s="82">
        <v>45867</v>
      </c>
      <c r="L150" s="81">
        <f t="shared" si="10"/>
        <v>24</v>
      </c>
      <c r="M150" s="5">
        <f t="shared" si="11"/>
        <v>72110.399999999994</v>
      </c>
      <c r="N150" s="5">
        <f t="shared" si="12"/>
        <v>3004.6</v>
      </c>
      <c r="O150" s="15" t="s">
        <v>1035</v>
      </c>
      <c r="P150" s="5" t="s">
        <v>1036</v>
      </c>
      <c r="Q150" s="5" t="s">
        <v>2555</v>
      </c>
      <c r="R150" s="38"/>
    </row>
    <row r="151" spans="1:18">
      <c r="A151" s="5">
        <v>150</v>
      </c>
      <c r="B151" s="5">
        <v>71322</v>
      </c>
      <c r="C151" s="15" t="s">
        <v>1037</v>
      </c>
      <c r="D151" s="27" t="s">
        <v>1038</v>
      </c>
      <c r="E151" s="5">
        <v>5</v>
      </c>
      <c r="F151" s="5">
        <v>349</v>
      </c>
      <c r="G151" s="5" t="s">
        <v>2551</v>
      </c>
      <c r="H151" s="5">
        <v>3620</v>
      </c>
      <c r="I151" s="5">
        <v>0.83</v>
      </c>
      <c r="J151" s="82">
        <v>45127</v>
      </c>
      <c r="K151" s="82">
        <v>45867</v>
      </c>
      <c r="L151" s="81">
        <f t="shared" si="10"/>
        <v>24</v>
      </c>
      <c r="M151" s="5">
        <f t="shared" si="11"/>
        <v>72110.399999999994</v>
      </c>
      <c r="N151" s="5">
        <f t="shared" si="12"/>
        <v>3004.6</v>
      </c>
      <c r="O151" s="15" t="s">
        <v>1039</v>
      </c>
      <c r="P151" s="5" t="s">
        <v>1040</v>
      </c>
      <c r="Q151" s="5" t="s">
        <v>2555</v>
      </c>
      <c r="R151" s="38"/>
    </row>
    <row r="152" spans="1:18">
      <c r="A152" s="52">
        <v>151</v>
      </c>
      <c r="B152" s="52">
        <v>71293</v>
      </c>
      <c r="C152" s="53" t="s">
        <v>2357</v>
      </c>
      <c r="D152" s="54" t="s">
        <v>1041</v>
      </c>
      <c r="E152" s="52">
        <v>4</v>
      </c>
      <c r="F152" s="52">
        <v>350</v>
      </c>
      <c r="G152" s="52" t="s">
        <v>2551</v>
      </c>
      <c r="H152" s="5">
        <v>3620</v>
      </c>
      <c r="I152" s="5">
        <v>0.83</v>
      </c>
      <c r="J152" s="82">
        <v>45127</v>
      </c>
      <c r="K152" s="82">
        <v>45867</v>
      </c>
      <c r="L152" s="81">
        <f t="shared" si="10"/>
        <v>24</v>
      </c>
      <c r="M152" s="5">
        <f t="shared" si="11"/>
        <v>72110.399999999994</v>
      </c>
      <c r="N152" s="5">
        <f t="shared" si="12"/>
        <v>3004.6</v>
      </c>
      <c r="O152" s="55" t="s">
        <v>1042</v>
      </c>
      <c r="P152" s="52" t="s">
        <v>1043</v>
      </c>
      <c r="Q152" s="5" t="s">
        <v>2555</v>
      </c>
      <c r="R152" s="56"/>
    </row>
    <row r="153" spans="1:18">
      <c r="A153" s="5">
        <v>152</v>
      </c>
      <c r="B153" s="5" t="s">
        <v>1044</v>
      </c>
      <c r="C153" s="15" t="s">
        <v>396</v>
      </c>
      <c r="D153" s="27" t="s">
        <v>1045</v>
      </c>
      <c r="E153" s="5">
        <v>4</v>
      </c>
      <c r="F153" s="5">
        <v>351</v>
      </c>
      <c r="G153" s="5" t="s">
        <v>2551</v>
      </c>
      <c r="H153" s="5">
        <v>3620</v>
      </c>
      <c r="I153" s="5">
        <v>0.83</v>
      </c>
      <c r="J153" s="82">
        <v>45127</v>
      </c>
      <c r="K153" s="82">
        <v>45867</v>
      </c>
      <c r="L153" s="81">
        <f t="shared" si="10"/>
        <v>24</v>
      </c>
      <c r="M153" s="5">
        <f>N153*L153</f>
        <v>120000</v>
      </c>
      <c r="N153" s="5">
        <v>5000</v>
      </c>
      <c r="O153" s="15" t="s">
        <v>1046</v>
      </c>
      <c r="P153" s="5" t="s">
        <v>1047</v>
      </c>
      <c r="Q153" s="5" t="s">
        <v>2557</v>
      </c>
      <c r="R153" s="38"/>
    </row>
    <row r="154" spans="1:18">
      <c r="A154" s="5">
        <v>153</v>
      </c>
      <c r="B154" s="5">
        <v>71206</v>
      </c>
      <c r="C154" s="15" t="s">
        <v>1048</v>
      </c>
      <c r="D154" s="27" t="s">
        <v>1049</v>
      </c>
      <c r="E154" s="5">
        <v>4</v>
      </c>
      <c r="F154" s="5">
        <v>352</v>
      </c>
      <c r="G154" s="5" t="s">
        <v>2551</v>
      </c>
      <c r="H154" s="5">
        <v>3620</v>
      </c>
      <c r="I154" s="5">
        <v>0.83</v>
      </c>
      <c r="J154" s="82">
        <v>45127</v>
      </c>
      <c r="K154" s="82">
        <v>45867</v>
      </c>
      <c r="L154" s="81">
        <f t="shared" si="10"/>
        <v>24</v>
      </c>
      <c r="M154" s="5">
        <f t="shared" si="11"/>
        <v>72110.399999999994</v>
      </c>
      <c r="N154" s="5">
        <f t="shared" si="12"/>
        <v>3004.6</v>
      </c>
      <c r="O154" s="15" t="s">
        <v>1050</v>
      </c>
      <c r="P154" s="5" t="s">
        <v>1051</v>
      </c>
      <c r="Q154" s="5" t="s">
        <v>2555</v>
      </c>
      <c r="R154" s="38"/>
    </row>
    <row r="155" spans="1:18">
      <c r="A155" s="5">
        <v>154</v>
      </c>
      <c r="B155" s="5" t="s">
        <v>1052</v>
      </c>
      <c r="C155" s="15" t="s">
        <v>1053</v>
      </c>
      <c r="D155" s="27" t="s">
        <v>1054</v>
      </c>
      <c r="E155" s="5">
        <v>4</v>
      </c>
      <c r="F155" s="5">
        <v>353</v>
      </c>
      <c r="G155" s="5" t="s">
        <v>2551</v>
      </c>
      <c r="H155" s="5">
        <v>3620</v>
      </c>
      <c r="I155" s="5">
        <v>0.83</v>
      </c>
      <c r="J155" s="82">
        <v>45127</v>
      </c>
      <c r="K155" s="82">
        <v>45867</v>
      </c>
      <c r="L155" s="81">
        <f t="shared" si="10"/>
        <v>24</v>
      </c>
      <c r="M155" s="5">
        <f t="shared" si="11"/>
        <v>72110.399999999994</v>
      </c>
      <c r="N155" s="5">
        <f t="shared" si="12"/>
        <v>3004.6</v>
      </c>
      <c r="O155" s="15" t="s">
        <v>1055</v>
      </c>
      <c r="P155" s="5" t="s">
        <v>1056</v>
      </c>
      <c r="Q155" s="5" t="s">
        <v>2555</v>
      </c>
      <c r="R155" s="38"/>
    </row>
    <row r="156" spans="1:18" ht="28.8">
      <c r="A156" s="5">
        <v>155</v>
      </c>
      <c r="B156" s="5" t="s">
        <v>1057</v>
      </c>
      <c r="C156" s="15" t="s">
        <v>1058</v>
      </c>
      <c r="D156" s="27" t="s">
        <v>1059</v>
      </c>
      <c r="E156" s="5">
        <v>4</v>
      </c>
      <c r="F156" s="5">
        <v>354</v>
      </c>
      <c r="G156" s="5" t="s">
        <v>2551</v>
      </c>
      <c r="H156" s="5">
        <v>3620</v>
      </c>
      <c r="I156" s="5">
        <v>0.83</v>
      </c>
      <c r="J156" s="82">
        <v>45127</v>
      </c>
      <c r="K156" s="82">
        <v>45867</v>
      </c>
      <c r="L156" s="81">
        <f t="shared" si="10"/>
        <v>24</v>
      </c>
      <c r="M156" s="5">
        <f t="shared" si="11"/>
        <v>72110.399999999994</v>
      </c>
      <c r="N156" s="5">
        <f t="shared" si="12"/>
        <v>3004.6</v>
      </c>
      <c r="O156" s="15" t="s">
        <v>1060</v>
      </c>
      <c r="P156" s="5" t="s">
        <v>1061</v>
      </c>
      <c r="Q156" s="5" t="s">
        <v>2555</v>
      </c>
      <c r="R156" s="38"/>
    </row>
    <row r="157" spans="1:18" ht="28.8">
      <c r="A157" s="5">
        <v>156</v>
      </c>
      <c r="B157" s="5">
        <v>71200</v>
      </c>
      <c r="C157" s="15" t="s">
        <v>1062</v>
      </c>
      <c r="D157" s="27" t="s">
        <v>1063</v>
      </c>
      <c r="E157" s="5">
        <v>4</v>
      </c>
      <c r="F157" s="5">
        <v>355</v>
      </c>
      <c r="G157" s="5" t="s">
        <v>2551</v>
      </c>
      <c r="H157" s="5">
        <v>3620</v>
      </c>
      <c r="I157" s="5">
        <v>0.83</v>
      </c>
      <c r="J157" s="82">
        <v>45127</v>
      </c>
      <c r="K157" s="82">
        <v>45867</v>
      </c>
      <c r="L157" s="81">
        <f t="shared" si="10"/>
        <v>24</v>
      </c>
      <c r="M157" s="5">
        <f t="shared" si="11"/>
        <v>72110.399999999994</v>
      </c>
      <c r="N157" s="5">
        <f t="shared" si="12"/>
        <v>3004.6</v>
      </c>
      <c r="O157" s="15" t="s">
        <v>1064</v>
      </c>
      <c r="P157" s="5" t="s">
        <v>1065</v>
      </c>
      <c r="Q157" s="5" t="s">
        <v>2555</v>
      </c>
      <c r="R157" s="38"/>
    </row>
    <row r="158" spans="1:18">
      <c r="A158" s="5">
        <v>157</v>
      </c>
      <c r="B158" s="5" t="s">
        <v>1066</v>
      </c>
      <c r="C158" s="15" t="s">
        <v>1067</v>
      </c>
      <c r="D158" s="27" t="s">
        <v>1068</v>
      </c>
      <c r="E158" s="5">
        <v>4</v>
      </c>
      <c r="F158" s="5">
        <v>356</v>
      </c>
      <c r="G158" s="5" t="s">
        <v>2551</v>
      </c>
      <c r="H158" s="5">
        <v>3620</v>
      </c>
      <c r="I158" s="5">
        <v>0.83</v>
      </c>
      <c r="J158" s="82">
        <v>45127</v>
      </c>
      <c r="K158" s="82">
        <v>45867</v>
      </c>
      <c r="L158" s="81">
        <f t="shared" si="10"/>
        <v>24</v>
      </c>
      <c r="M158" s="5">
        <f t="shared" si="11"/>
        <v>72110.399999999994</v>
      </c>
      <c r="N158" s="5">
        <f t="shared" si="12"/>
        <v>3004.6</v>
      </c>
      <c r="O158" s="28" t="s">
        <v>1069</v>
      </c>
      <c r="P158" s="5" t="s">
        <v>1070</v>
      </c>
      <c r="Q158" s="5" t="s">
        <v>2555</v>
      </c>
      <c r="R158" s="38"/>
    </row>
    <row r="159" spans="1:18" ht="28.8">
      <c r="A159" s="5">
        <v>158</v>
      </c>
      <c r="B159" s="5" t="s">
        <v>1071</v>
      </c>
      <c r="C159" s="15" t="s">
        <v>1072</v>
      </c>
      <c r="D159" s="27" t="s">
        <v>1073</v>
      </c>
      <c r="E159" s="5">
        <v>4</v>
      </c>
      <c r="F159" s="5">
        <v>357</v>
      </c>
      <c r="G159" s="5" t="s">
        <v>2551</v>
      </c>
      <c r="H159" s="5">
        <v>3620</v>
      </c>
      <c r="I159" s="5">
        <v>0.83</v>
      </c>
      <c r="J159" s="82">
        <v>45127</v>
      </c>
      <c r="K159" s="82">
        <v>45867</v>
      </c>
      <c r="L159" s="81">
        <f t="shared" si="10"/>
        <v>24</v>
      </c>
      <c r="M159" s="5">
        <f t="shared" si="11"/>
        <v>72110.399999999994</v>
      </c>
      <c r="N159" s="5">
        <f t="shared" si="12"/>
        <v>3004.6</v>
      </c>
      <c r="O159" s="28" t="s">
        <v>1074</v>
      </c>
      <c r="P159" s="5" t="s">
        <v>1075</v>
      </c>
      <c r="Q159" s="5" t="s">
        <v>2555</v>
      </c>
      <c r="R159" s="38"/>
    </row>
    <row r="160" spans="1:18">
      <c r="A160" s="5">
        <v>159</v>
      </c>
      <c r="B160" s="5" t="s">
        <v>1076</v>
      </c>
      <c r="C160" s="15" t="s">
        <v>1077</v>
      </c>
      <c r="D160" s="27" t="s">
        <v>1078</v>
      </c>
      <c r="E160" s="5">
        <v>4</v>
      </c>
      <c r="F160" s="5">
        <v>358</v>
      </c>
      <c r="G160" s="5" t="s">
        <v>2551</v>
      </c>
      <c r="H160" s="5">
        <v>3620</v>
      </c>
      <c r="I160" s="5">
        <v>0.83</v>
      </c>
      <c r="J160" s="82">
        <v>45127</v>
      </c>
      <c r="K160" s="82">
        <v>45867</v>
      </c>
      <c r="L160" s="81">
        <f t="shared" si="10"/>
        <v>24</v>
      </c>
      <c r="M160" s="5">
        <f t="shared" si="11"/>
        <v>72110.399999999994</v>
      </c>
      <c r="N160" s="5">
        <f t="shared" si="12"/>
        <v>3004.6</v>
      </c>
      <c r="O160" s="15" t="s">
        <v>1079</v>
      </c>
      <c r="P160" s="5" t="s">
        <v>1080</v>
      </c>
      <c r="Q160" s="5" t="s">
        <v>2555</v>
      </c>
      <c r="R160" s="38"/>
    </row>
    <row r="161" spans="1:18">
      <c r="A161" s="5">
        <v>160</v>
      </c>
      <c r="B161" s="5" t="s">
        <v>1081</v>
      </c>
      <c r="C161" s="15" t="s">
        <v>1082</v>
      </c>
      <c r="D161" s="27" t="s">
        <v>1083</v>
      </c>
      <c r="E161" s="5">
        <v>4</v>
      </c>
      <c r="F161" s="5">
        <v>359</v>
      </c>
      <c r="G161" s="5" t="s">
        <v>2551</v>
      </c>
      <c r="H161" s="5">
        <v>3620</v>
      </c>
      <c r="I161" s="5">
        <v>0.83</v>
      </c>
      <c r="J161" s="82">
        <v>45127</v>
      </c>
      <c r="K161" s="82">
        <v>45867</v>
      </c>
      <c r="L161" s="81">
        <f t="shared" si="10"/>
        <v>24</v>
      </c>
      <c r="M161" s="5">
        <f t="shared" si="11"/>
        <v>72110.399999999994</v>
      </c>
      <c r="N161" s="5">
        <f t="shared" si="12"/>
        <v>3004.6</v>
      </c>
      <c r="O161" s="15" t="s">
        <v>1084</v>
      </c>
      <c r="P161" s="5" t="s">
        <v>1085</v>
      </c>
      <c r="Q161" s="5" t="s">
        <v>2555</v>
      </c>
      <c r="R161" s="38"/>
    </row>
    <row r="162" spans="1:18">
      <c r="A162" s="5">
        <v>161</v>
      </c>
      <c r="B162" s="5">
        <v>71367</v>
      </c>
      <c r="C162" s="15" t="s">
        <v>1086</v>
      </c>
      <c r="D162" s="27" t="s">
        <v>1087</v>
      </c>
      <c r="E162" s="5">
        <v>4</v>
      </c>
      <c r="F162" s="5">
        <v>360</v>
      </c>
      <c r="G162" s="5" t="s">
        <v>2551</v>
      </c>
      <c r="H162" s="5">
        <v>3620</v>
      </c>
      <c r="I162" s="5">
        <v>0.83</v>
      </c>
      <c r="J162" s="82">
        <v>45127</v>
      </c>
      <c r="K162" s="82">
        <v>45867</v>
      </c>
      <c r="L162" s="81">
        <f t="shared" si="10"/>
        <v>24</v>
      </c>
      <c r="M162" s="5">
        <f>N162*L162</f>
        <v>120000</v>
      </c>
      <c r="N162" s="5">
        <v>5000</v>
      </c>
      <c r="O162" s="28" t="s">
        <v>1088</v>
      </c>
      <c r="P162" s="5" t="s">
        <v>1089</v>
      </c>
      <c r="Q162" s="5" t="s">
        <v>2557</v>
      </c>
      <c r="R162" s="38"/>
    </row>
    <row r="163" spans="1:18">
      <c r="A163" s="5">
        <v>162</v>
      </c>
      <c r="B163" s="5" t="s">
        <v>1090</v>
      </c>
      <c r="C163" s="15" t="s">
        <v>1091</v>
      </c>
      <c r="D163" s="27" t="s">
        <v>1092</v>
      </c>
      <c r="E163" s="5">
        <v>4</v>
      </c>
      <c r="F163" s="5">
        <v>361</v>
      </c>
      <c r="G163" s="5" t="s">
        <v>2551</v>
      </c>
      <c r="H163" s="5">
        <v>3620</v>
      </c>
      <c r="I163" s="5">
        <v>0.83</v>
      </c>
      <c r="J163" s="82">
        <v>45127</v>
      </c>
      <c r="K163" s="82">
        <v>45867</v>
      </c>
      <c r="L163" s="81">
        <f t="shared" si="10"/>
        <v>24</v>
      </c>
      <c r="M163" s="5">
        <f t="shared" si="11"/>
        <v>72110.399999999994</v>
      </c>
      <c r="N163" s="5">
        <f t="shared" si="12"/>
        <v>3004.6</v>
      </c>
      <c r="O163" s="28" t="s">
        <v>1093</v>
      </c>
      <c r="P163" s="5" t="s">
        <v>1094</v>
      </c>
      <c r="Q163" s="5" t="s">
        <v>2555</v>
      </c>
      <c r="R163" s="38"/>
    </row>
    <row r="164" spans="1:18">
      <c r="A164" s="5">
        <v>163</v>
      </c>
      <c r="B164" s="5">
        <v>71237</v>
      </c>
      <c r="C164" s="15" t="s">
        <v>1095</v>
      </c>
      <c r="D164" s="27" t="s">
        <v>1096</v>
      </c>
      <c r="E164" s="5">
        <v>4</v>
      </c>
      <c r="F164" s="5">
        <v>362</v>
      </c>
      <c r="G164" s="5" t="s">
        <v>2551</v>
      </c>
      <c r="H164" s="5">
        <v>3620</v>
      </c>
      <c r="I164" s="5">
        <v>0.83</v>
      </c>
      <c r="J164" s="82">
        <v>45127</v>
      </c>
      <c r="K164" s="82">
        <v>45867</v>
      </c>
      <c r="L164" s="81">
        <f t="shared" si="10"/>
        <v>24</v>
      </c>
      <c r="M164" s="5">
        <f>N164*L164</f>
        <v>120000</v>
      </c>
      <c r="N164" s="5">
        <v>5000</v>
      </c>
      <c r="O164" s="15" t="s">
        <v>1097</v>
      </c>
      <c r="P164" s="5" t="s">
        <v>1098</v>
      </c>
      <c r="Q164" s="5" t="s">
        <v>2557</v>
      </c>
      <c r="R164" s="38"/>
    </row>
    <row r="165" spans="1:18">
      <c r="A165" s="5">
        <v>164</v>
      </c>
      <c r="B165" s="5" t="s">
        <v>1099</v>
      </c>
      <c r="C165" s="15" t="s">
        <v>1100</v>
      </c>
      <c r="D165" s="27" t="s">
        <v>1101</v>
      </c>
      <c r="E165" s="5">
        <v>4</v>
      </c>
      <c r="F165" s="5">
        <v>363</v>
      </c>
      <c r="G165" s="5" t="s">
        <v>2551</v>
      </c>
      <c r="H165" s="5">
        <v>3620</v>
      </c>
      <c r="I165" s="5">
        <v>0.83</v>
      </c>
      <c r="J165" s="82">
        <v>45127</v>
      </c>
      <c r="K165" s="82">
        <v>45867</v>
      </c>
      <c r="L165" s="81">
        <f t="shared" si="10"/>
        <v>24</v>
      </c>
      <c r="M165" s="5">
        <f t="shared" si="11"/>
        <v>72110.399999999994</v>
      </c>
      <c r="N165" s="5">
        <f t="shared" si="12"/>
        <v>3004.6</v>
      </c>
      <c r="O165" s="15" t="s">
        <v>944</v>
      </c>
      <c r="P165" s="5" t="s">
        <v>1102</v>
      </c>
      <c r="Q165" s="5" t="s">
        <v>2553</v>
      </c>
      <c r="R165" s="38"/>
    </row>
    <row r="166" spans="1:18">
      <c r="A166" s="5">
        <v>165</v>
      </c>
      <c r="B166" s="5">
        <v>71040</v>
      </c>
      <c r="C166" s="15" t="s">
        <v>1103</v>
      </c>
      <c r="D166" s="27" t="s">
        <v>1104</v>
      </c>
      <c r="E166" s="5">
        <v>4</v>
      </c>
      <c r="F166" s="5">
        <v>364</v>
      </c>
      <c r="G166" s="5" t="s">
        <v>2551</v>
      </c>
      <c r="H166" s="5">
        <v>3620</v>
      </c>
      <c r="I166" s="5">
        <v>0.83</v>
      </c>
      <c r="J166" s="82">
        <v>45127</v>
      </c>
      <c r="K166" s="82">
        <v>45867</v>
      </c>
      <c r="L166" s="81">
        <f t="shared" si="10"/>
        <v>24</v>
      </c>
      <c r="M166" s="5">
        <f t="shared" si="11"/>
        <v>72110.399999999994</v>
      </c>
      <c r="N166" s="5">
        <f t="shared" si="12"/>
        <v>3004.6</v>
      </c>
      <c r="O166" s="28" t="s">
        <v>1105</v>
      </c>
      <c r="P166" s="5" t="s">
        <v>1106</v>
      </c>
      <c r="Q166" s="5" t="s">
        <v>2553</v>
      </c>
      <c r="R166" s="38"/>
    </row>
    <row r="167" spans="1:18">
      <c r="A167" s="5">
        <v>166</v>
      </c>
      <c r="B167" s="5" t="s">
        <v>1107</v>
      </c>
      <c r="C167" s="15" t="s">
        <v>1108</v>
      </c>
      <c r="D167" s="27" t="s">
        <v>1109</v>
      </c>
      <c r="E167" s="5">
        <v>4</v>
      </c>
      <c r="F167" s="5">
        <v>365</v>
      </c>
      <c r="G167" s="5" t="s">
        <v>2551</v>
      </c>
      <c r="H167" s="5">
        <v>3620</v>
      </c>
      <c r="I167" s="5">
        <v>0.83</v>
      </c>
      <c r="J167" s="82">
        <v>45127</v>
      </c>
      <c r="K167" s="82">
        <v>45867</v>
      </c>
      <c r="L167" s="81">
        <f t="shared" si="10"/>
        <v>24</v>
      </c>
      <c r="M167" s="5">
        <f t="shared" si="11"/>
        <v>72110.399999999994</v>
      </c>
      <c r="N167" s="5">
        <f t="shared" si="12"/>
        <v>3004.6</v>
      </c>
      <c r="O167" s="15" t="s">
        <v>1110</v>
      </c>
      <c r="P167" s="5" t="s">
        <v>778</v>
      </c>
      <c r="Q167" s="5" t="s">
        <v>2553</v>
      </c>
      <c r="R167" s="38"/>
    </row>
    <row r="168" spans="1:18" ht="28.8">
      <c r="A168" s="5">
        <v>167</v>
      </c>
      <c r="B168" s="5">
        <v>71385</v>
      </c>
      <c r="C168" s="15" t="s">
        <v>1111</v>
      </c>
      <c r="D168" s="27" t="s">
        <v>1112</v>
      </c>
      <c r="E168" s="5">
        <v>4</v>
      </c>
      <c r="F168" s="5">
        <v>366</v>
      </c>
      <c r="G168" s="5" t="s">
        <v>2551</v>
      </c>
      <c r="H168" s="5">
        <v>3620</v>
      </c>
      <c r="I168" s="5">
        <v>0.83</v>
      </c>
      <c r="J168" s="82">
        <v>45127</v>
      </c>
      <c r="K168" s="82">
        <v>45867</v>
      </c>
      <c r="L168" s="81">
        <f t="shared" si="10"/>
        <v>24</v>
      </c>
      <c r="M168" s="5">
        <f t="shared" si="11"/>
        <v>72110.399999999994</v>
      </c>
      <c r="N168" s="5">
        <f t="shared" si="12"/>
        <v>3004.6</v>
      </c>
      <c r="O168" s="28" t="s">
        <v>1113</v>
      </c>
      <c r="P168" s="5" t="s">
        <v>1114</v>
      </c>
      <c r="Q168" s="5" t="s">
        <v>2553</v>
      </c>
      <c r="R168" s="38"/>
    </row>
    <row r="169" spans="1:18">
      <c r="A169" s="5">
        <v>168</v>
      </c>
      <c r="B169" s="5" t="s">
        <v>1115</v>
      </c>
      <c r="C169" s="15" t="s">
        <v>1116</v>
      </c>
      <c r="D169" s="27" t="s">
        <v>1117</v>
      </c>
      <c r="E169" s="5">
        <v>4</v>
      </c>
      <c r="F169" s="5">
        <v>367</v>
      </c>
      <c r="G169" s="5" t="s">
        <v>2551</v>
      </c>
      <c r="H169" s="5">
        <v>3620</v>
      </c>
      <c r="I169" s="5">
        <v>0.83</v>
      </c>
      <c r="J169" s="82">
        <v>45127</v>
      </c>
      <c r="K169" s="82">
        <v>45867</v>
      </c>
      <c r="L169" s="81">
        <f t="shared" si="10"/>
        <v>24</v>
      </c>
      <c r="M169" s="5">
        <f>N169*L169</f>
        <v>120000</v>
      </c>
      <c r="N169" s="5">
        <v>5000</v>
      </c>
      <c r="O169" s="15" t="s">
        <v>1118</v>
      </c>
      <c r="P169" s="5" t="s">
        <v>1119</v>
      </c>
      <c r="Q169" s="5" t="s">
        <v>2557</v>
      </c>
      <c r="R169" s="38"/>
    </row>
    <row r="170" spans="1:18">
      <c r="A170" s="5">
        <v>169</v>
      </c>
      <c r="B170" s="5">
        <v>71196</v>
      </c>
      <c r="C170" s="15" t="s">
        <v>1120</v>
      </c>
      <c r="D170" s="27" t="s">
        <v>1121</v>
      </c>
      <c r="E170" s="5">
        <v>4</v>
      </c>
      <c r="F170" s="5">
        <v>368</v>
      </c>
      <c r="G170" s="5" t="s">
        <v>2551</v>
      </c>
      <c r="H170" s="5">
        <v>3620</v>
      </c>
      <c r="I170" s="5">
        <v>0.83</v>
      </c>
      <c r="J170" s="82">
        <v>45127</v>
      </c>
      <c r="K170" s="82">
        <v>45867</v>
      </c>
      <c r="L170" s="81">
        <f t="shared" si="10"/>
        <v>24</v>
      </c>
      <c r="M170" s="5">
        <f t="shared" si="11"/>
        <v>72110.399999999994</v>
      </c>
      <c r="N170" s="5">
        <f t="shared" si="12"/>
        <v>3004.6</v>
      </c>
      <c r="O170" s="15" t="s">
        <v>1122</v>
      </c>
      <c r="P170" s="5" t="s">
        <v>1123</v>
      </c>
      <c r="Q170" s="5" t="s">
        <v>2553</v>
      </c>
      <c r="R170" s="38"/>
    </row>
    <row r="171" spans="1:18">
      <c r="A171" s="5">
        <v>170</v>
      </c>
      <c r="B171" s="5">
        <v>71244</v>
      </c>
      <c r="C171" s="15" t="s">
        <v>1124</v>
      </c>
      <c r="D171" s="27" t="s">
        <v>1125</v>
      </c>
      <c r="E171" s="5">
        <v>4</v>
      </c>
      <c r="F171" s="5">
        <v>369</v>
      </c>
      <c r="G171" s="5" t="s">
        <v>2551</v>
      </c>
      <c r="H171" s="5">
        <v>3620</v>
      </c>
      <c r="I171" s="5">
        <v>0.83</v>
      </c>
      <c r="J171" s="82">
        <v>45127</v>
      </c>
      <c r="K171" s="82">
        <v>45867</v>
      </c>
      <c r="L171" s="81">
        <f t="shared" si="10"/>
        <v>24</v>
      </c>
      <c r="M171" s="5">
        <f t="shared" si="11"/>
        <v>72110.399999999994</v>
      </c>
      <c r="N171" s="5">
        <f t="shared" si="12"/>
        <v>3004.6</v>
      </c>
      <c r="O171" s="15" t="s">
        <v>1126</v>
      </c>
      <c r="P171" s="5" t="s">
        <v>1127</v>
      </c>
      <c r="Q171" s="5" t="s">
        <v>2553</v>
      </c>
      <c r="R171" s="38"/>
    </row>
    <row r="172" spans="1:18">
      <c r="A172" s="5">
        <v>171</v>
      </c>
      <c r="B172" s="5" t="s">
        <v>2432</v>
      </c>
      <c r="C172" s="15" t="s">
        <v>2431</v>
      </c>
      <c r="D172" s="27" t="s">
        <v>2433</v>
      </c>
      <c r="E172" s="5">
        <v>4</v>
      </c>
      <c r="F172" s="5">
        <v>370</v>
      </c>
      <c r="G172" s="5" t="s">
        <v>2551</v>
      </c>
      <c r="H172" s="5">
        <v>3620</v>
      </c>
      <c r="I172" s="5">
        <v>0.83</v>
      </c>
      <c r="J172" s="82">
        <v>45127</v>
      </c>
      <c r="K172" s="82">
        <v>45867</v>
      </c>
      <c r="L172" s="81">
        <f t="shared" si="10"/>
        <v>24</v>
      </c>
      <c r="M172" s="5">
        <f t="shared" si="11"/>
        <v>72110.399999999994</v>
      </c>
      <c r="N172" s="5">
        <f t="shared" si="12"/>
        <v>3004.6</v>
      </c>
      <c r="O172" s="28" t="s">
        <v>2434</v>
      </c>
      <c r="P172" s="5" t="s">
        <v>2435</v>
      </c>
      <c r="Q172" s="5" t="s">
        <v>2553</v>
      </c>
      <c r="R172" s="38"/>
    </row>
    <row r="173" spans="1:18" ht="28.8">
      <c r="A173" s="5">
        <v>172</v>
      </c>
      <c r="B173" s="5" t="s">
        <v>1128</v>
      </c>
      <c r="C173" s="15" t="s">
        <v>1129</v>
      </c>
      <c r="D173" s="27" t="s">
        <v>1130</v>
      </c>
      <c r="E173" s="5">
        <v>4</v>
      </c>
      <c r="F173" s="5">
        <v>371</v>
      </c>
      <c r="G173" s="5" t="s">
        <v>2551</v>
      </c>
      <c r="H173" s="5">
        <v>3620</v>
      </c>
      <c r="I173" s="5">
        <v>0.83</v>
      </c>
      <c r="J173" s="82">
        <v>45127</v>
      </c>
      <c r="K173" s="82">
        <v>45867</v>
      </c>
      <c r="L173" s="81">
        <f t="shared" si="10"/>
        <v>24</v>
      </c>
      <c r="M173" s="5">
        <f t="shared" si="11"/>
        <v>72110.399999999994</v>
      </c>
      <c r="N173" s="5">
        <f t="shared" si="12"/>
        <v>3004.6</v>
      </c>
      <c r="O173" s="28" t="s">
        <v>1131</v>
      </c>
      <c r="P173" s="5" t="s">
        <v>1132</v>
      </c>
      <c r="Q173" s="5" t="s">
        <v>2553</v>
      </c>
      <c r="R173" s="38"/>
    </row>
    <row r="174" spans="1:18">
      <c r="A174" s="5">
        <v>173</v>
      </c>
      <c r="B174" s="5">
        <v>71019</v>
      </c>
      <c r="C174" s="15" t="s">
        <v>1133</v>
      </c>
      <c r="D174" s="27" t="s">
        <v>1134</v>
      </c>
      <c r="E174" s="5">
        <v>4</v>
      </c>
      <c r="F174" s="5">
        <v>372</v>
      </c>
      <c r="G174" s="5" t="s">
        <v>2551</v>
      </c>
      <c r="H174" s="5">
        <v>3620</v>
      </c>
      <c r="I174" s="5">
        <v>0.83</v>
      </c>
      <c r="J174" s="82">
        <v>45127</v>
      </c>
      <c r="K174" s="82">
        <v>45867</v>
      </c>
      <c r="L174" s="81">
        <f t="shared" si="10"/>
        <v>24</v>
      </c>
      <c r="M174" s="5">
        <f t="shared" ref="M174:M175" si="13">N174*L174</f>
        <v>120000</v>
      </c>
      <c r="N174" s="5">
        <v>5000</v>
      </c>
      <c r="O174" s="15" t="s">
        <v>1135</v>
      </c>
      <c r="P174" s="5" t="s">
        <v>1136</v>
      </c>
      <c r="Q174" s="5" t="s">
        <v>2557</v>
      </c>
      <c r="R174" s="38"/>
    </row>
    <row r="175" spans="1:18">
      <c r="A175" s="5">
        <v>174</v>
      </c>
      <c r="B175" s="5" t="s">
        <v>1137</v>
      </c>
      <c r="C175" s="15" t="s">
        <v>1138</v>
      </c>
      <c r="D175" s="27" t="s">
        <v>1139</v>
      </c>
      <c r="E175" s="5">
        <v>4</v>
      </c>
      <c r="F175" s="5">
        <v>373</v>
      </c>
      <c r="G175" s="5" t="s">
        <v>2551</v>
      </c>
      <c r="H175" s="5">
        <v>3620</v>
      </c>
      <c r="I175" s="5">
        <v>0.83</v>
      </c>
      <c r="J175" s="82">
        <v>45127</v>
      </c>
      <c r="K175" s="82">
        <v>45867</v>
      </c>
      <c r="L175" s="81">
        <f t="shared" si="10"/>
        <v>24</v>
      </c>
      <c r="M175" s="5">
        <f t="shared" si="13"/>
        <v>120000</v>
      </c>
      <c r="N175" s="5">
        <v>5000</v>
      </c>
      <c r="O175" s="6" t="s">
        <v>293</v>
      </c>
      <c r="P175" s="5" t="s">
        <v>1140</v>
      </c>
      <c r="Q175" s="5" t="s">
        <v>2557</v>
      </c>
      <c r="R175" s="38"/>
    </row>
    <row r="176" spans="1:18">
      <c r="A176" s="5">
        <v>175</v>
      </c>
      <c r="B176" s="5" t="s">
        <v>1141</v>
      </c>
      <c r="C176" s="15" t="s">
        <v>1142</v>
      </c>
      <c r="D176" s="27" t="s">
        <v>1143</v>
      </c>
      <c r="E176" s="5">
        <v>4</v>
      </c>
      <c r="F176" s="5">
        <v>374</v>
      </c>
      <c r="G176" s="5" t="s">
        <v>2551</v>
      </c>
      <c r="H176" s="5">
        <v>3620</v>
      </c>
      <c r="I176" s="5">
        <v>0.83</v>
      </c>
      <c r="J176" s="82">
        <v>45127</v>
      </c>
      <c r="K176" s="82">
        <v>45867</v>
      </c>
      <c r="L176" s="81">
        <f t="shared" si="10"/>
        <v>24</v>
      </c>
      <c r="M176" s="5">
        <f t="shared" si="11"/>
        <v>72110.399999999994</v>
      </c>
      <c r="N176" s="5">
        <f t="shared" si="12"/>
        <v>3004.6</v>
      </c>
      <c r="O176" s="15" t="s">
        <v>1144</v>
      </c>
      <c r="P176" s="5" t="s">
        <v>1145</v>
      </c>
      <c r="Q176" s="5" t="s">
        <v>2555</v>
      </c>
      <c r="R176" s="38"/>
    </row>
    <row r="177" spans="1:18" ht="28.8">
      <c r="A177" s="5">
        <v>176</v>
      </c>
      <c r="B177" s="5" t="s">
        <v>1146</v>
      </c>
      <c r="C177" s="15" t="s">
        <v>1147</v>
      </c>
      <c r="D177" s="27" t="s">
        <v>1148</v>
      </c>
      <c r="E177" s="5">
        <v>4</v>
      </c>
      <c r="F177" s="5">
        <v>375</v>
      </c>
      <c r="G177" s="5" t="s">
        <v>2551</v>
      </c>
      <c r="H177" s="5">
        <v>3620</v>
      </c>
      <c r="I177" s="5">
        <v>0.83</v>
      </c>
      <c r="J177" s="82">
        <v>45127</v>
      </c>
      <c r="K177" s="82">
        <v>45867</v>
      </c>
      <c r="L177" s="81">
        <f t="shared" si="10"/>
        <v>24</v>
      </c>
      <c r="M177" s="5">
        <f>N177*L177</f>
        <v>120000</v>
      </c>
      <c r="N177" s="5">
        <v>5000</v>
      </c>
      <c r="O177" s="28" t="s">
        <v>1149</v>
      </c>
      <c r="P177" s="5" t="s">
        <v>1150</v>
      </c>
      <c r="Q177" s="5" t="s">
        <v>2557</v>
      </c>
      <c r="R177" s="38"/>
    </row>
    <row r="178" spans="1:18" ht="28.8">
      <c r="A178" s="5">
        <v>177</v>
      </c>
      <c r="B178" s="5" t="s">
        <v>1151</v>
      </c>
      <c r="C178" s="15" t="s">
        <v>1152</v>
      </c>
      <c r="D178" s="27" t="s">
        <v>1153</v>
      </c>
      <c r="E178" s="5">
        <v>4</v>
      </c>
      <c r="F178" s="5">
        <v>376</v>
      </c>
      <c r="G178" s="5" t="s">
        <v>2551</v>
      </c>
      <c r="H178" s="5">
        <v>3620</v>
      </c>
      <c r="I178" s="5">
        <v>0.83</v>
      </c>
      <c r="J178" s="82">
        <v>45127</v>
      </c>
      <c r="K178" s="82">
        <v>45867</v>
      </c>
      <c r="L178" s="81">
        <f t="shared" si="10"/>
        <v>24</v>
      </c>
      <c r="M178" s="5">
        <f t="shared" si="11"/>
        <v>72110.399999999994</v>
      </c>
      <c r="N178" s="5">
        <f t="shared" si="12"/>
        <v>3004.6</v>
      </c>
      <c r="O178" s="28" t="s">
        <v>1154</v>
      </c>
      <c r="P178" s="5" t="s">
        <v>1155</v>
      </c>
      <c r="Q178" s="5" t="s">
        <v>2555</v>
      </c>
      <c r="R178" s="38"/>
    </row>
    <row r="179" spans="1:18" ht="28.8">
      <c r="A179" s="5">
        <v>178</v>
      </c>
      <c r="B179" s="5">
        <v>71172</v>
      </c>
      <c r="C179" s="15" t="s">
        <v>1156</v>
      </c>
      <c r="D179" s="27" t="s">
        <v>1157</v>
      </c>
      <c r="E179" s="5">
        <v>4</v>
      </c>
      <c r="F179" s="5">
        <v>377</v>
      </c>
      <c r="G179" s="5" t="s">
        <v>2551</v>
      </c>
      <c r="H179" s="5">
        <v>3620</v>
      </c>
      <c r="I179" s="5">
        <v>0.83</v>
      </c>
      <c r="J179" s="82">
        <v>45127</v>
      </c>
      <c r="K179" s="82">
        <v>45867</v>
      </c>
      <c r="L179" s="81">
        <f t="shared" si="10"/>
        <v>24</v>
      </c>
      <c r="M179" s="5">
        <f t="shared" si="11"/>
        <v>72110.399999999994</v>
      </c>
      <c r="N179" s="5">
        <f t="shared" si="12"/>
        <v>3004.6</v>
      </c>
      <c r="O179" s="15" t="s">
        <v>1158</v>
      </c>
      <c r="P179" s="5" t="s">
        <v>1159</v>
      </c>
      <c r="Q179" s="5" t="s">
        <v>2555</v>
      </c>
      <c r="R179" s="38"/>
    </row>
    <row r="180" spans="1:18" s="36" customFormat="1" ht="18">
      <c r="A180" s="33"/>
      <c r="B180" s="33"/>
      <c r="C180" s="34"/>
      <c r="D180" s="35"/>
      <c r="M180" s="85">
        <f>SUM(M2:M179)</f>
        <v>14463897.600000037</v>
      </c>
      <c r="O180" s="35"/>
      <c r="P180" s="33"/>
      <c r="Q180" s="25"/>
    </row>
  </sheetData>
  <autoFilter ref="A1:T180" xr:uid="{00000000-0009-0000-0000-000001000000}"/>
  <phoneticPr fontId="21" type="noConversion"/>
  <pageMargins left="0.2" right="0.2" top="0.75" bottom="0.75" header="0.3" footer="0.3"/>
  <pageSetup scale="53" orientation="portrait" r:id="rId1"/>
  <headerFooter>
    <oddFooter>&amp;CPage &amp;P of &amp;N</oddFooter>
  </headerFooter>
  <colBreaks count="1" manualBreakCount="1">
    <brk id="18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295"/>
  <sheetViews>
    <sheetView tabSelected="1" topLeftCell="D1" zoomScaleNormal="100" workbookViewId="0">
      <pane ySplit="1" topLeftCell="A2" activePane="bottomLeft" state="frozen"/>
      <selection pane="bottomLeft" activeCell="M3" sqref="M3"/>
    </sheetView>
  </sheetViews>
  <sheetFormatPr defaultColWidth="9" defaultRowHeight="14.4"/>
  <cols>
    <col min="1" max="1" width="5" customWidth="1"/>
    <col min="2" max="2" width="17" customWidth="1"/>
    <col min="3" max="3" width="49.6640625" style="14" customWidth="1"/>
    <col min="4" max="4" width="20.109375" style="14" customWidth="1"/>
    <col min="5" max="5" width="9.44140625" customWidth="1"/>
    <col min="6" max="8" width="11" customWidth="1"/>
    <col min="9" max="14" width="15.109375" customWidth="1"/>
    <col min="15" max="15" width="66.6640625" style="14" hidden="1" customWidth="1"/>
    <col min="16" max="16" width="15" customWidth="1"/>
    <col min="17" max="17" width="18" style="25" bestFit="1" customWidth="1"/>
    <col min="18" max="18" width="19" style="8" customWidth="1"/>
  </cols>
  <sheetData>
    <row r="1" spans="1:18" ht="43.2">
      <c r="A1" s="1" t="s">
        <v>0</v>
      </c>
      <c r="B1" s="1" t="s">
        <v>1</v>
      </c>
      <c r="C1" s="26" t="s">
        <v>421</v>
      </c>
      <c r="D1" s="4" t="s">
        <v>4</v>
      </c>
      <c r="E1" s="1" t="s">
        <v>2</v>
      </c>
      <c r="F1" s="1" t="s">
        <v>3</v>
      </c>
      <c r="G1" s="1" t="s">
        <v>2549</v>
      </c>
      <c r="H1" s="1" t="s">
        <v>2564</v>
      </c>
      <c r="I1" s="71" t="s">
        <v>2571</v>
      </c>
      <c r="J1" s="71" t="s">
        <v>2565</v>
      </c>
      <c r="K1" s="71" t="s">
        <v>2567</v>
      </c>
      <c r="L1" s="71" t="s">
        <v>2568</v>
      </c>
      <c r="M1" s="71" t="s">
        <v>2570</v>
      </c>
      <c r="N1" s="71" t="s">
        <v>2566</v>
      </c>
      <c r="O1" s="26" t="s">
        <v>422</v>
      </c>
      <c r="P1" s="1" t="s">
        <v>6</v>
      </c>
      <c r="Q1" s="1" t="s">
        <v>2545</v>
      </c>
      <c r="R1" s="41" t="s">
        <v>2548</v>
      </c>
    </row>
    <row r="2" spans="1:18">
      <c r="A2" s="9">
        <v>1</v>
      </c>
      <c r="B2" s="9" t="s">
        <v>1160</v>
      </c>
      <c r="C2" s="43" t="s">
        <v>1161</v>
      </c>
      <c r="D2" s="11" t="s">
        <v>1162</v>
      </c>
      <c r="E2" s="9">
        <v>29</v>
      </c>
      <c r="F2" s="9">
        <v>400</v>
      </c>
      <c r="G2" s="9" t="s">
        <v>2550</v>
      </c>
      <c r="H2" s="9">
        <v>2018</v>
      </c>
      <c r="I2" s="9">
        <v>0.83</v>
      </c>
      <c r="J2" s="82">
        <v>45127</v>
      </c>
      <c r="K2" s="82">
        <v>45867</v>
      </c>
      <c r="L2" s="81">
        <f>DATEDIF(J2,K2,"M")</f>
        <v>24</v>
      </c>
      <c r="M2" s="5">
        <f>I2*H2*L2</f>
        <v>40198.559999999998</v>
      </c>
      <c r="N2" s="5">
        <f>M2/24</f>
        <v>1674.9399999999998</v>
      </c>
      <c r="O2" s="43" t="s">
        <v>1163</v>
      </c>
      <c r="P2" s="9" t="s">
        <v>1164</v>
      </c>
      <c r="Q2" s="5" t="s">
        <v>2555</v>
      </c>
      <c r="R2" s="38"/>
    </row>
    <row r="3" spans="1:18" ht="86.4">
      <c r="A3" s="57">
        <v>2</v>
      </c>
      <c r="B3" s="57" t="s">
        <v>1165</v>
      </c>
      <c r="C3" s="58" t="s">
        <v>1166</v>
      </c>
      <c r="D3" s="67" t="s">
        <v>1167</v>
      </c>
      <c r="E3" s="57">
        <v>29</v>
      </c>
      <c r="F3" s="57">
        <v>401</v>
      </c>
      <c r="G3" s="68" t="s">
        <v>2550</v>
      </c>
      <c r="H3" s="9">
        <v>2018</v>
      </c>
      <c r="I3" s="9">
        <v>0.83</v>
      </c>
      <c r="J3" s="82">
        <v>45127</v>
      </c>
      <c r="K3" s="82">
        <v>45867</v>
      </c>
      <c r="L3" s="81">
        <f t="shared" ref="L3:L66" si="0">DATEDIF(J3,K3,"M")</f>
        <v>24</v>
      </c>
      <c r="M3" s="5">
        <f>I3*H3*L3</f>
        <v>40198.559999999998</v>
      </c>
      <c r="N3" s="5">
        <f t="shared" ref="N3:N66" si="1">M3/24</f>
        <v>1674.9399999999998</v>
      </c>
      <c r="O3" s="63" t="s">
        <v>1168</v>
      </c>
      <c r="P3" s="57" t="s">
        <v>1169</v>
      </c>
      <c r="Q3" s="57" t="s">
        <v>2557</v>
      </c>
      <c r="R3" s="60"/>
    </row>
    <row r="4" spans="1:18" ht="28.8">
      <c r="A4" s="5">
        <v>3</v>
      </c>
      <c r="B4" s="5" t="s">
        <v>1170</v>
      </c>
      <c r="C4" s="15" t="s">
        <v>1171</v>
      </c>
      <c r="D4" s="27" t="s">
        <v>1172</v>
      </c>
      <c r="E4" s="5">
        <v>29</v>
      </c>
      <c r="F4" s="5">
        <v>402</v>
      </c>
      <c r="G4" s="9" t="s">
        <v>2550</v>
      </c>
      <c r="H4" s="9">
        <v>2018</v>
      </c>
      <c r="I4" s="9">
        <v>0.83</v>
      </c>
      <c r="J4" s="82">
        <v>45127</v>
      </c>
      <c r="K4" s="82">
        <v>45867</v>
      </c>
      <c r="L4" s="81">
        <f t="shared" si="0"/>
        <v>24</v>
      </c>
      <c r="M4" s="5">
        <f t="shared" ref="M4:M66" si="2">I4*H4*L4</f>
        <v>40198.559999999998</v>
      </c>
      <c r="N4" s="5">
        <f t="shared" si="1"/>
        <v>1674.9399999999998</v>
      </c>
      <c r="O4" s="15" t="s">
        <v>1173</v>
      </c>
      <c r="P4" s="5" t="s">
        <v>1174</v>
      </c>
      <c r="Q4" s="5" t="s">
        <v>2555</v>
      </c>
      <c r="R4" s="38"/>
    </row>
    <row r="5" spans="1:18">
      <c r="A5" s="9">
        <v>4</v>
      </c>
      <c r="B5" s="5" t="s">
        <v>1175</v>
      </c>
      <c r="C5" s="15" t="s">
        <v>1176</v>
      </c>
      <c r="D5" s="27" t="s">
        <v>1177</v>
      </c>
      <c r="E5" s="5">
        <v>29</v>
      </c>
      <c r="F5" s="5">
        <v>403</v>
      </c>
      <c r="G5" s="9" t="s">
        <v>2550</v>
      </c>
      <c r="H5" s="9">
        <v>2018</v>
      </c>
      <c r="I5" s="9">
        <v>0.83</v>
      </c>
      <c r="J5" s="82">
        <v>45127</v>
      </c>
      <c r="K5" s="82">
        <v>45867</v>
      </c>
      <c r="L5" s="81">
        <f t="shared" si="0"/>
        <v>24</v>
      </c>
      <c r="M5" s="5">
        <f t="shared" si="2"/>
        <v>40198.559999999998</v>
      </c>
      <c r="N5" s="5">
        <f t="shared" si="1"/>
        <v>1674.9399999999998</v>
      </c>
      <c r="O5" s="15" t="s">
        <v>1178</v>
      </c>
      <c r="P5" s="5" t="s">
        <v>1179</v>
      </c>
      <c r="Q5" s="5" t="s">
        <v>2555</v>
      </c>
      <c r="R5" s="38"/>
    </row>
    <row r="6" spans="1:18">
      <c r="A6" s="5">
        <v>5</v>
      </c>
      <c r="B6" s="5">
        <v>71167</v>
      </c>
      <c r="C6" s="15" t="s">
        <v>1180</v>
      </c>
      <c r="D6" s="27" t="s">
        <v>1181</v>
      </c>
      <c r="E6" s="5">
        <v>29</v>
      </c>
      <c r="F6" s="5">
        <v>404</v>
      </c>
      <c r="G6" s="9" t="s">
        <v>2550</v>
      </c>
      <c r="H6" s="9">
        <v>2018</v>
      </c>
      <c r="I6" s="9">
        <v>0.83</v>
      </c>
      <c r="J6" s="82">
        <v>45127</v>
      </c>
      <c r="K6" s="82">
        <v>45867</v>
      </c>
      <c r="L6" s="81">
        <f t="shared" si="0"/>
        <v>24</v>
      </c>
      <c r="M6" s="5">
        <f t="shared" si="2"/>
        <v>40198.559999999998</v>
      </c>
      <c r="N6" s="5">
        <f t="shared" si="1"/>
        <v>1674.9399999999998</v>
      </c>
      <c r="O6" s="15" t="s">
        <v>1182</v>
      </c>
      <c r="P6" s="5" t="s">
        <v>1183</v>
      </c>
      <c r="Q6" s="5" t="s">
        <v>2555</v>
      </c>
      <c r="R6" s="38"/>
    </row>
    <row r="7" spans="1:18">
      <c r="A7" s="5">
        <v>6</v>
      </c>
      <c r="B7" s="5">
        <v>71319</v>
      </c>
      <c r="C7" s="15" t="s">
        <v>1184</v>
      </c>
      <c r="D7" s="27" t="s">
        <v>1185</v>
      </c>
      <c r="E7" s="5">
        <v>30</v>
      </c>
      <c r="F7" s="5">
        <v>405</v>
      </c>
      <c r="G7" s="9" t="s">
        <v>2550</v>
      </c>
      <c r="H7" s="9">
        <v>2018</v>
      </c>
      <c r="I7" s="9">
        <v>0.83</v>
      </c>
      <c r="J7" s="82">
        <v>45127</v>
      </c>
      <c r="K7" s="82">
        <v>45867</v>
      </c>
      <c r="L7" s="81">
        <f t="shared" si="0"/>
        <v>24</v>
      </c>
      <c r="M7" s="5">
        <f t="shared" si="2"/>
        <v>40198.559999999998</v>
      </c>
      <c r="N7" s="5">
        <f t="shared" si="1"/>
        <v>1674.9399999999998</v>
      </c>
      <c r="O7" s="15" t="s">
        <v>1186</v>
      </c>
      <c r="P7" s="5" t="s">
        <v>1187</v>
      </c>
      <c r="Q7" s="5" t="s">
        <v>2555</v>
      </c>
      <c r="R7" s="38"/>
    </row>
    <row r="8" spans="1:18">
      <c r="A8" s="9">
        <v>7</v>
      </c>
      <c r="B8" s="5" t="s">
        <v>1188</v>
      </c>
      <c r="C8" s="15" t="s">
        <v>1189</v>
      </c>
      <c r="D8" s="27" t="s">
        <v>1190</v>
      </c>
      <c r="E8" s="5">
        <v>30</v>
      </c>
      <c r="F8" s="5">
        <v>406</v>
      </c>
      <c r="G8" s="9" t="s">
        <v>2550</v>
      </c>
      <c r="H8" s="9">
        <v>2018</v>
      </c>
      <c r="I8" s="9">
        <v>0.83</v>
      </c>
      <c r="J8" s="82">
        <v>45127</v>
      </c>
      <c r="K8" s="82">
        <v>45867</v>
      </c>
      <c r="L8" s="81">
        <f t="shared" si="0"/>
        <v>24</v>
      </c>
      <c r="M8" s="5">
        <f t="shared" si="2"/>
        <v>40198.559999999998</v>
      </c>
      <c r="N8" s="5">
        <f t="shared" si="1"/>
        <v>1674.9399999999998</v>
      </c>
      <c r="O8" s="15" t="s">
        <v>1191</v>
      </c>
      <c r="P8" s="5" t="s">
        <v>1192</v>
      </c>
      <c r="Q8" s="5" t="s">
        <v>2555</v>
      </c>
      <c r="R8" s="38"/>
    </row>
    <row r="9" spans="1:18">
      <c r="A9" s="5">
        <v>8</v>
      </c>
      <c r="B9" s="5" t="s">
        <v>1193</v>
      </c>
      <c r="C9" s="15" t="s">
        <v>1194</v>
      </c>
      <c r="D9" s="27" t="s">
        <v>1195</v>
      </c>
      <c r="E9" s="5">
        <v>30</v>
      </c>
      <c r="F9" s="5">
        <v>407</v>
      </c>
      <c r="G9" s="9" t="s">
        <v>2550</v>
      </c>
      <c r="H9" s="9">
        <v>2018</v>
      </c>
      <c r="I9" s="9">
        <v>0.83</v>
      </c>
      <c r="J9" s="82">
        <v>45127</v>
      </c>
      <c r="K9" s="82">
        <v>45867</v>
      </c>
      <c r="L9" s="81">
        <f t="shared" si="0"/>
        <v>24</v>
      </c>
      <c r="M9" s="5">
        <f t="shared" si="2"/>
        <v>40198.559999999998</v>
      </c>
      <c r="N9" s="5">
        <f t="shared" si="1"/>
        <v>1674.9399999999998</v>
      </c>
      <c r="O9" s="15" t="s">
        <v>1196</v>
      </c>
      <c r="P9" s="5" t="s">
        <v>1197</v>
      </c>
      <c r="Q9" s="5" t="s">
        <v>2554</v>
      </c>
      <c r="R9" s="38"/>
    </row>
    <row r="10" spans="1:18">
      <c r="A10" s="5">
        <v>9</v>
      </c>
      <c r="B10" s="5" t="s">
        <v>1198</v>
      </c>
      <c r="C10" s="15" t="s">
        <v>1199</v>
      </c>
      <c r="D10" s="27" t="s">
        <v>1200</v>
      </c>
      <c r="E10" s="5">
        <v>30</v>
      </c>
      <c r="F10" s="5">
        <v>408</v>
      </c>
      <c r="G10" s="9" t="s">
        <v>2550</v>
      </c>
      <c r="H10" s="9">
        <v>2018</v>
      </c>
      <c r="I10" s="9">
        <v>0.83</v>
      </c>
      <c r="J10" s="82">
        <v>45127</v>
      </c>
      <c r="K10" s="82">
        <v>45867</v>
      </c>
      <c r="L10" s="81">
        <f t="shared" si="0"/>
        <v>24</v>
      </c>
      <c r="M10" s="5">
        <f t="shared" si="2"/>
        <v>40198.559999999998</v>
      </c>
      <c r="N10" s="5">
        <f t="shared" si="1"/>
        <v>1674.9399999999998</v>
      </c>
      <c r="O10" s="28" t="s">
        <v>1201</v>
      </c>
      <c r="P10" s="5" t="s">
        <v>1202</v>
      </c>
      <c r="Q10" s="5" t="s">
        <v>2555</v>
      </c>
      <c r="R10" s="38"/>
    </row>
    <row r="11" spans="1:18">
      <c r="A11" s="9">
        <v>10</v>
      </c>
      <c r="B11" s="5" t="s">
        <v>1203</v>
      </c>
      <c r="C11" s="15" t="s">
        <v>1204</v>
      </c>
      <c r="D11" s="27" t="s">
        <v>1205</v>
      </c>
      <c r="E11" s="5">
        <v>30</v>
      </c>
      <c r="F11" s="5">
        <v>409</v>
      </c>
      <c r="G11" s="9" t="s">
        <v>2550</v>
      </c>
      <c r="H11" s="9">
        <v>2018</v>
      </c>
      <c r="I11" s="9">
        <v>0.83</v>
      </c>
      <c r="J11" s="82">
        <v>45127</v>
      </c>
      <c r="K11" s="82">
        <v>45867</v>
      </c>
      <c r="L11" s="81">
        <f t="shared" si="0"/>
        <v>24</v>
      </c>
      <c r="M11" s="5">
        <f t="shared" si="2"/>
        <v>40198.559999999998</v>
      </c>
      <c r="N11" s="5">
        <f t="shared" si="1"/>
        <v>1674.9399999999998</v>
      </c>
      <c r="O11" s="15" t="s">
        <v>1206</v>
      </c>
      <c r="P11" s="5"/>
      <c r="Q11" s="9" t="s">
        <v>2555</v>
      </c>
      <c r="R11" s="38"/>
    </row>
    <row r="12" spans="1:18">
      <c r="A12" s="5">
        <v>11</v>
      </c>
      <c r="B12" s="5">
        <v>71023</v>
      </c>
      <c r="C12" s="15" t="s">
        <v>1207</v>
      </c>
      <c r="D12" s="27" t="s">
        <v>1208</v>
      </c>
      <c r="E12" s="5">
        <v>30</v>
      </c>
      <c r="F12" s="5">
        <v>410</v>
      </c>
      <c r="G12" s="9" t="s">
        <v>2550</v>
      </c>
      <c r="H12" s="9">
        <v>2018</v>
      </c>
      <c r="I12" s="9">
        <v>0.83</v>
      </c>
      <c r="J12" s="82">
        <v>45127</v>
      </c>
      <c r="K12" s="82">
        <v>45867</v>
      </c>
      <c r="L12" s="81">
        <f t="shared" si="0"/>
        <v>24</v>
      </c>
      <c r="M12" s="5">
        <f t="shared" si="2"/>
        <v>40198.559999999998</v>
      </c>
      <c r="N12" s="5">
        <f t="shared" si="1"/>
        <v>1674.9399999999998</v>
      </c>
      <c r="O12" s="15" t="s">
        <v>1209</v>
      </c>
      <c r="P12" s="5" t="s">
        <v>1210</v>
      </c>
      <c r="Q12" s="5" t="s">
        <v>2555</v>
      </c>
      <c r="R12" s="38"/>
    </row>
    <row r="13" spans="1:18">
      <c r="A13" s="5">
        <v>12</v>
      </c>
      <c r="B13" s="5">
        <v>71112</v>
      </c>
      <c r="C13" s="15" t="s">
        <v>1211</v>
      </c>
      <c r="D13" s="27" t="s">
        <v>1212</v>
      </c>
      <c r="E13" s="5">
        <v>30</v>
      </c>
      <c r="F13" s="5">
        <v>411</v>
      </c>
      <c r="G13" s="9" t="s">
        <v>2550</v>
      </c>
      <c r="H13" s="9">
        <v>2018</v>
      </c>
      <c r="I13" s="9">
        <v>0.83</v>
      </c>
      <c r="J13" s="82">
        <v>45127</v>
      </c>
      <c r="K13" s="82">
        <v>45867</v>
      </c>
      <c r="L13" s="81">
        <f t="shared" si="0"/>
        <v>24</v>
      </c>
      <c r="M13" s="5">
        <f t="shared" si="2"/>
        <v>40198.559999999998</v>
      </c>
      <c r="N13" s="5">
        <f t="shared" si="1"/>
        <v>1674.9399999999998</v>
      </c>
      <c r="O13" s="15" t="s">
        <v>1213</v>
      </c>
      <c r="P13" s="5" t="s">
        <v>1214</v>
      </c>
      <c r="Q13" s="5" t="s">
        <v>2555</v>
      </c>
      <c r="R13" s="38"/>
    </row>
    <row r="14" spans="1:18">
      <c r="A14" s="9">
        <v>13</v>
      </c>
      <c r="B14" s="5" t="s">
        <v>2514</v>
      </c>
      <c r="C14" s="15" t="s">
        <v>2515</v>
      </c>
      <c r="D14" s="27" t="s">
        <v>2516</v>
      </c>
      <c r="E14" s="5">
        <v>30</v>
      </c>
      <c r="F14" s="5">
        <v>412</v>
      </c>
      <c r="G14" s="9" t="s">
        <v>2550</v>
      </c>
      <c r="H14" s="9">
        <v>2018</v>
      </c>
      <c r="I14" s="9">
        <v>0.83</v>
      </c>
      <c r="J14" s="82">
        <v>45127</v>
      </c>
      <c r="K14" s="82">
        <v>45867</v>
      </c>
      <c r="L14" s="81">
        <f t="shared" si="0"/>
        <v>24</v>
      </c>
      <c r="M14" s="5">
        <f t="shared" si="2"/>
        <v>40198.559999999998</v>
      </c>
      <c r="N14" s="5">
        <f t="shared" si="1"/>
        <v>1674.9399999999998</v>
      </c>
      <c r="O14" s="15" t="s">
        <v>2517</v>
      </c>
      <c r="P14" s="5"/>
      <c r="Q14" s="5" t="s">
        <v>2554</v>
      </c>
      <c r="R14" s="38"/>
    </row>
    <row r="15" spans="1:18" ht="28.8">
      <c r="A15" s="5">
        <v>14</v>
      </c>
      <c r="B15" s="5" t="s">
        <v>2437</v>
      </c>
      <c r="C15" s="15" t="s">
        <v>2436</v>
      </c>
      <c r="D15" s="27" t="s">
        <v>2438</v>
      </c>
      <c r="E15" s="5">
        <v>30</v>
      </c>
      <c r="F15" s="5">
        <v>413</v>
      </c>
      <c r="G15" s="9" t="s">
        <v>2550</v>
      </c>
      <c r="H15" s="9">
        <v>2018</v>
      </c>
      <c r="I15" s="9">
        <v>0.83</v>
      </c>
      <c r="J15" s="82">
        <v>45127</v>
      </c>
      <c r="K15" s="82">
        <v>45867</v>
      </c>
      <c r="L15" s="81">
        <f t="shared" si="0"/>
        <v>24</v>
      </c>
      <c r="M15" s="5">
        <f t="shared" si="2"/>
        <v>40198.559999999998</v>
      </c>
      <c r="N15" s="5">
        <f t="shared" si="1"/>
        <v>1674.9399999999998</v>
      </c>
      <c r="O15" s="28" t="s">
        <v>2439</v>
      </c>
      <c r="P15" s="5" t="s">
        <v>2440</v>
      </c>
      <c r="Q15" s="5" t="s">
        <v>2555</v>
      </c>
      <c r="R15" s="38"/>
    </row>
    <row r="16" spans="1:18">
      <c r="A16" s="5">
        <v>15</v>
      </c>
      <c r="B16" s="5">
        <v>71046</v>
      </c>
      <c r="C16" s="15" t="s">
        <v>1215</v>
      </c>
      <c r="D16" s="27" t="s">
        <v>1216</v>
      </c>
      <c r="E16" s="5">
        <v>30</v>
      </c>
      <c r="F16" s="5">
        <v>414</v>
      </c>
      <c r="G16" s="9" t="s">
        <v>2550</v>
      </c>
      <c r="H16" s="9">
        <v>2018</v>
      </c>
      <c r="I16" s="9">
        <v>0.83</v>
      </c>
      <c r="J16" s="82">
        <v>45127</v>
      </c>
      <c r="K16" s="82">
        <v>45867</v>
      </c>
      <c r="L16" s="81">
        <f t="shared" si="0"/>
        <v>24</v>
      </c>
      <c r="M16" s="5">
        <f t="shared" si="2"/>
        <v>40198.559999999998</v>
      </c>
      <c r="N16" s="5">
        <f t="shared" si="1"/>
        <v>1674.9399999999998</v>
      </c>
      <c r="O16" s="15" t="s">
        <v>1217</v>
      </c>
      <c r="P16" s="5" t="s">
        <v>1218</v>
      </c>
      <c r="Q16" s="5" t="s">
        <v>2555</v>
      </c>
      <c r="R16" s="38"/>
    </row>
    <row r="17" spans="1:18">
      <c r="A17" s="9">
        <v>16</v>
      </c>
      <c r="B17" s="5" t="s">
        <v>1219</v>
      </c>
      <c r="C17" s="15" t="s">
        <v>1220</v>
      </c>
      <c r="D17" s="27" t="s">
        <v>1221</v>
      </c>
      <c r="E17" s="5">
        <v>30</v>
      </c>
      <c r="F17" s="5">
        <v>415</v>
      </c>
      <c r="G17" s="9" t="s">
        <v>2550</v>
      </c>
      <c r="H17" s="9">
        <v>2018</v>
      </c>
      <c r="I17" s="9">
        <v>0.83</v>
      </c>
      <c r="J17" s="82">
        <v>45127</v>
      </c>
      <c r="K17" s="82">
        <v>45867</v>
      </c>
      <c r="L17" s="81">
        <f t="shared" si="0"/>
        <v>24</v>
      </c>
      <c r="M17" s="5">
        <f t="shared" si="2"/>
        <v>40198.559999999998</v>
      </c>
      <c r="N17" s="5">
        <f t="shared" si="1"/>
        <v>1674.9399999999998</v>
      </c>
      <c r="O17" s="28" t="s">
        <v>1222</v>
      </c>
      <c r="P17" s="5" t="s">
        <v>1223</v>
      </c>
      <c r="Q17" s="5" t="s">
        <v>2555</v>
      </c>
      <c r="R17" s="38"/>
    </row>
    <row r="18" spans="1:18">
      <c r="A18" s="5">
        <v>17</v>
      </c>
      <c r="B18" s="5" t="s">
        <v>1224</v>
      </c>
      <c r="C18" s="15" t="s">
        <v>1225</v>
      </c>
      <c r="D18" s="27" t="s">
        <v>1226</v>
      </c>
      <c r="E18" s="5">
        <v>30</v>
      </c>
      <c r="F18" s="5">
        <v>416</v>
      </c>
      <c r="G18" s="9" t="s">
        <v>2550</v>
      </c>
      <c r="H18" s="9">
        <v>2018</v>
      </c>
      <c r="I18" s="9">
        <v>0.83</v>
      </c>
      <c r="J18" s="82">
        <v>45127</v>
      </c>
      <c r="K18" s="82">
        <v>45867</v>
      </c>
      <c r="L18" s="81">
        <f t="shared" si="0"/>
        <v>24</v>
      </c>
      <c r="M18" s="5">
        <f t="shared" si="2"/>
        <v>40198.559999999998</v>
      </c>
      <c r="N18" s="5">
        <f t="shared" si="1"/>
        <v>1674.9399999999998</v>
      </c>
      <c r="O18" s="15" t="s">
        <v>1227</v>
      </c>
      <c r="P18" s="5" t="s">
        <v>1228</v>
      </c>
      <c r="Q18" s="5" t="s">
        <v>2557</v>
      </c>
      <c r="R18" s="38"/>
    </row>
    <row r="19" spans="1:18" ht="28.8">
      <c r="A19" s="5">
        <v>18</v>
      </c>
      <c r="B19" s="5" t="s">
        <v>2466</v>
      </c>
      <c r="C19" s="15" t="s">
        <v>2465</v>
      </c>
      <c r="D19" s="27" t="s">
        <v>2467</v>
      </c>
      <c r="E19" s="5">
        <v>30</v>
      </c>
      <c r="F19" s="5">
        <v>417</v>
      </c>
      <c r="G19" s="9" t="s">
        <v>2550</v>
      </c>
      <c r="H19" s="9">
        <v>2018</v>
      </c>
      <c r="I19" s="9">
        <v>0.83</v>
      </c>
      <c r="J19" s="82">
        <v>45127</v>
      </c>
      <c r="K19" s="82">
        <v>45867</v>
      </c>
      <c r="L19" s="81">
        <f t="shared" si="0"/>
        <v>24</v>
      </c>
      <c r="M19" s="5">
        <f t="shared" si="2"/>
        <v>40198.559999999998</v>
      </c>
      <c r="N19" s="5">
        <f t="shared" si="1"/>
        <v>1674.9399999999998</v>
      </c>
      <c r="O19" s="42" t="s">
        <v>48</v>
      </c>
      <c r="P19" s="5" t="s">
        <v>2468</v>
      </c>
      <c r="Q19" s="5" t="s">
        <v>2555</v>
      </c>
      <c r="R19" s="38"/>
    </row>
    <row r="20" spans="1:18">
      <c r="A20" s="9">
        <v>19</v>
      </c>
      <c r="B20" s="5" t="s">
        <v>1229</v>
      </c>
      <c r="C20" s="15" t="s">
        <v>1230</v>
      </c>
      <c r="D20" s="27" t="s">
        <v>1231</v>
      </c>
      <c r="E20" s="5">
        <v>30</v>
      </c>
      <c r="F20" s="5">
        <v>418</v>
      </c>
      <c r="G20" s="9" t="s">
        <v>2550</v>
      </c>
      <c r="H20" s="9">
        <v>2018</v>
      </c>
      <c r="I20" s="9">
        <v>0.83</v>
      </c>
      <c r="J20" s="82">
        <v>45127</v>
      </c>
      <c r="K20" s="82">
        <v>45867</v>
      </c>
      <c r="L20" s="81">
        <f>DATEDIF(J20,K20,"M")</f>
        <v>24</v>
      </c>
      <c r="M20" s="5">
        <f t="shared" si="2"/>
        <v>40198.559999999998</v>
      </c>
      <c r="N20" s="5">
        <f t="shared" si="1"/>
        <v>1674.9399999999998</v>
      </c>
      <c r="O20" s="28" t="s">
        <v>1232</v>
      </c>
      <c r="P20" s="5" t="s">
        <v>1233</v>
      </c>
      <c r="Q20" s="5" t="s">
        <v>2555</v>
      </c>
      <c r="R20" s="38"/>
    </row>
    <row r="21" spans="1:18" ht="28.8">
      <c r="A21" s="5">
        <v>20</v>
      </c>
      <c r="B21" s="5" t="s">
        <v>1234</v>
      </c>
      <c r="C21" s="15" t="s">
        <v>1235</v>
      </c>
      <c r="D21" s="27" t="s">
        <v>1236</v>
      </c>
      <c r="E21" s="5">
        <v>30</v>
      </c>
      <c r="F21" s="5">
        <v>419</v>
      </c>
      <c r="G21" s="9" t="s">
        <v>2550</v>
      </c>
      <c r="H21" s="9">
        <v>2018</v>
      </c>
      <c r="I21" s="9">
        <v>0.83</v>
      </c>
      <c r="J21" s="82">
        <v>45127</v>
      </c>
      <c r="K21" s="82">
        <v>45867</v>
      </c>
      <c r="L21" s="81">
        <f t="shared" si="0"/>
        <v>24</v>
      </c>
      <c r="M21" s="5">
        <f t="shared" si="2"/>
        <v>40198.559999999998</v>
      </c>
      <c r="N21" s="5">
        <f t="shared" si="1"/>
        <v>1674.9399999999998</v>
      </c>
      <c r="O21" s="28" t="s">
        <v>1237</v>
      </c>
      <c r="P21" s="5" t="s">
        <v>1238</v>
      </c>
      <c r="Q21" s="5" t="s">
        <v>2555</v>
      </c>
      <c r="R21" s="38"/>
    </row>
    <row r="22" spans="1:18">
      <c r="A22" s="5">
        <v>21</v>
      </c>
      <c r="B22" s="5" t="s">
        <v>1239</v>
      </c>
      <c r="C22" s="15" t="s">
        <v>1240</v>
      </c>
      <c r="D22" s="27" t="s">
        <v>1241</v>
      </c>
      <c r="E22" s="5">
        <v>30</v>
      </c>
      <c r="F22" s="5">
        <v>420</v>
      </c>
      <c r="G22" s="9" t="s">
        <v>2550</v>
      </c>
      <c r="H22" s="9">
        <v>2018</v>
      </c>
      <c r="I22" s="9">
        <v>0.83</v>
      </c>
      <c r="J22" s="82">
        <v>45127</v>
      </c>
      <c r="K22" s="82">
        <v>45867</v>
      </c>
      <c r="L22" s="81">
        <f t="shared" si="0"/>
        <v>24</v>
      </c>
      <c r="M22" s="5">
        <f t="shared" si="2"/>
        <v>40198.559999999998</v>
      </c>
      <c r="N22" s="5">
        <f t="shared" si="1"/>
        <v>1674.9399999999998</v>
      </c>
      <c r="O22" s="28" t="s">
        <v>1242</v>
      </c>
      <c r="P22" s="5" t="s">
        <v>1243</v>
      </c>
      <c r="Q22" s="5" t="s">
        <v>2555</v>
      </c>
      <c r="R22" s="38"/>
    </row>
    <row r="23" spans="1:18">
      <c r="A23" s="9">
        <v>22</v>
      </c>
      <c r="B23" s="5">
        <v>71356</v>
      </c>
      <c r="C23" s="15" t="s">
        <v>1244</v>
      </c>
      <c r="D23" s="27" t="s">
        <v>1245</v>
      </c>
      <c r="E23" s="5">
        <v>28</v>
      </c>
      <c r="F23" s="5">
        <v>421</v>
      </c>
      <c r="G23" s="9" t="s">
        <v>2550</v>
      </c>
      <c r="H23" s="9">
        <v>2018</v>
      </c>
      <c r="I23" s="9">
        <v>0.83</v>
      </c>
      <c r="J23" s="82">
        <v>45127</v>
      </c>
      <c r="K23" s="82">
        <v>45867</v>
      </c>
      <c r="L23" s="81">
        <f t="shared" si="0"/>
        <v>24</v>
      </c>
      <c r="M23" s="5">
        <f t="shared" si="2"/>
        <v>40198.559999999998</v>
      </c>
      <c r="N23" s="5">
        <f t="shared" si="1"/>
        <v>1674.9399999999998</v>
      </c>
      <c r="O23" s="15" t="s">
        <v>1246</v>
      </c>
      <c r="P23" s="5" t="s">
        <v>1247</v>
      </c>
      <c r="Q23" s="5" t="s">
        <v>2555</v>
      </c>
      <c r="R23" s="38"/>
    </row>
    <row r="24" spans="1:18">
      <c r="A24" s="5">
        <v>23</v>
      </c>
      <c r="B24" s="5">
        <v>71140</v>
      </c>
      <c r="C24" s="15" t="s">
        <v>1248</v>
      </c>
      <c r="D24" s="27" t="s">
        <v>1249</v>
      </c>
      <c r="E24" s="5">
        <v>31</v>
      </c>
      <c r="F24" s="5">
        <v>422</v>
      </c>
      <c r="G24" s="9" t="s">
        <v>2550</v>
      </c>
      <c r="H24" s="9">
        <v>2018</v>
      </c>
      <c r="I24" s="9">
        <v>0.83</v>
      </c>
      <c r="J24" s="82">
        <v>45127</v>
      </c>
      <c r="K24" s="82">
        <v>45867</v>
      </c>
      <c r="L24" s="81">
        <f t="shared" si="0"/>
        <v>24</v>
      </c>
      <c r="M24" s="5">
        <f t="shared" si="2"/>
        <v>40198.559999999998</v>
      </c>
      <c r="N24" s="5">
        <f t="shared" si="1"/>
        <v>1674.9399999999998</v>
      </c>
      <c r="O24" s="15" t="s">
        <v>1250</v>
      </c>
      <c r="P24" s="5" t="s">
        <v>1251</v>
      </c>
      <c r="Q24" s="5" t="s">
        <v>2555</v>
      </c>
      <c r="R24" s="38"/>
    </row>
    <row r="25" spans="1:18">
      <c r="A25" s="5">
        <v>24</v>
      </c>
      <c r="B25" s="5">
        <v>71216</v>
      </c>
      <c r="C25" s="15" t="s">
        <v>1252</v>
      </c>
      <c r="D25" s="27" t="s">
        <v>1253</v>
      </c>
      <c r="E25" s="5">
        <v>31</v>
      </c>
      <c r="F25" s="5">
        <v>423</v>
      </c>
      <c r="G25" s="9" t="s">
        <v>2550</v>
      </c>
      <c r="H25" s="9">
        <v>2018</v>
      </c>
      <c r="I25" s="9">
        <v>0.83</v>
      </c>
      <c r="J25" s="82">
        <v>45127</v>
      </c>
      <c r="K25" s="82">
        <v>45867</v>
      </c>
      <c r="L25" s="81">
        <f t="shared" si="0"/>
        <v>24</v>
      </c>
      <c r="M25" s="5">
        <f t="shared" si="2"/>
        <v>40198.559999999998</v>
      </c>
      <c r="N25" s="5">
        <f t="shared" si="1"/>
        <v>1674.9399999999998</v>
      </c>
      <c r="O25" s="15" t="s">
        <v>1254</v>
      </c>
      <c r="P25" s="5" t="s">
        <v>1255</v>
      </c>
      <c r="Q25" s="5" t="s">
        <v>2557</v>
      </c>
      <c r="R25" s="38"/>
    </row>
    <row r="26" spans="1:18">
      <c r="A26" s="9">
        <v>25</v>
      </c>
      <c r="B26" s="5" t="s">
        <v>1256</v>
      </c>
      <c r="C26" s="15" t="s">
        <v>1257</v>
      </c>
      <c r="D26" s="27" t="s">
        <v>1258</v>
      </c>
      <c r="E26" s="5">
        <v>31</v>
      </c>
      <c r="F26" s="5">
        <v>424</v>
      </c>
      <c r="G26" s="9" t="s">
        <v>2550</v>
      </c>
      <c r="H26" s="9">
        <v>2018</v>
      </c>
      <c r="I26" s="9">
        <v>0.83</v>
      </c>
      <c r="J26" s="82">
        <v>45127</v>
      </c>
      <c r="K26" s="82">
        <v>45867</v>
      </c>
      <c r="L26" s="81">
        <f t="shared" si="0"/>
        <v>24</v>
      </c>
      <c r="M26" s="5">
        <f t="shared" si="2"/>
        <v>40198.559999999998</v>
      </c>
      <c r="N26" s="5">
        <f t="shared" si="1"/>
        <v>1674.9399999999998</v>
      </c>
      <c r="O26" s="15" t="s">
        <v>1259</v>
      </c>
      <c r="P26" s="5" t="s">
        <v>1260</v>
      </c>
      <c r="Q26" s="5" t="s">
        <v>2554</v>
      </c>
      <c r="R26" s="38"/>
    </row>
    <row r="27" spans="1:18">
      <c r="A27" s="5">
        <v>26</v>
      </c>
      <c r="B27" s="5">
        <v>71364</v>
      </c>
      <c r="C27" s="15" t="s">
        <v>1261</v>
      </c>
      <c r="D27" s="27" t="s">
        <v>1262</v>
      </c>
      <c r="E27" s="5">
        <v>31</v>
      </c>
      <c r="F27" s="5">
        <v>425</v>
      </c>
      <c r="G27" s="9" t="s">
        <v>2550</v>
      </c>
      <c r="H27" s="9">
        <v>2018</v>
      </c>
      <c r="I27" s="9">
        <v>0.83</v>
      </c>
      <c r="J27" s="82">
        <v>45127</v>
      </c>
      <c r="K27" s="82">
        <v>45867</v>
      </c>
      <c r="L27" s="81">
        <f t="shared" si="0"/>
        <v>24</v>
      </c>
      <c r="M27" s="5">
        <f t="shared" si="2"/>
        <v>40198.559999999998</v>
      </c>
      <c r="N27" s="5">
        <f t="shared" si="1"/>
        <v>1674.9399999999998</v>
      </c>
      <c r="O27" s="15" t="s">
        <v>967</v>
      </c>
      <c r="P27" s="5" t="s">
        <v>1263</v>
      </c>
      <c r="Q27" s="5" t="s">
        <v>2555</v>
      </c>
      <c r="R27" s="38"/>
    </row>
    <row r="28" spans="1:18">
      <c r="A28" s="5">
        <v>27</v>
      </c>
      <c r="B28" s="5">
        <v>71018</v>
      </c>
      <c r="C28" s="15" t="s">
        <v>1264</v>
      </c>
      <c r="D28" s="27" t="s">
        <v>1265</v>
      </c>
      <c r="E28" s="5">
        <v>31</v>
      </c>
      <c r="F28" s="5">
        <v>426</v>
      </c>
      <c r="G28" s="9" t="s">
        <v>2550</v>
      </c>
      <c r="H28" s="9">
        <v>2018</v>
      </c>
      <c r="I28" s="9">
        <v>0.83</v>
      </c>
      <c r="J28" s="82">
        <v>45127</v>
      </c>
      <c r="K28" s="82">
        <v>45867</v>
      </c>
      <c r="L28" s="81">
        <f t="shared" si="0"/>
        <v>24</v>
      </c>
      <c r="M28" s="5">
        <f t="shared" si="2"/>
        <v>40198.559999999998</v>
      </c>
      <c r="N28" s="5">
        <f t="shared" si="1"/>
        <v>1674.9399999999998</v>
      </c>
      <c r="O28" s="15" t="s">
        <v>1266</v>
      </c>
      <c r="P28" s="5" t="s">
        <v>1267</v>
      </c>
      <c r="Q28" s="5" t="s">
        <v>2555</v>
      </c>
      <c r="R28" s="38"/>
    </row>
    <row r="29" spans="1:18">
      <c r="A29" s="9">
        <v>28</v>
      </c>
      <c r="B29" s="5" t="s">
        <v>2422</v>
      </c>
      <c r="C29" s="15" t="s">
        <v>2421</v>
      </c>
      <c r="D29" s="27" t="s">
        <v>2423</v>
      </c>
      <c r="E29" s="5">
        <v>31</v>
      </c>
      <c r="F29" s="5">
        <v>427</v>
      </c>
      <c r="G29" s="9" t="s">
        <v>2550</v>
      </c>
      <c r="H29" s="9">
        <v>2018</v>
      </c>
      <c r="I29" s="9">
        <v>0.83</v>
      </c>
      <c r="J29" s="82">
        <v>45127</v>
      </c>
      <c r="K29" s="82">
        <v>45867</v>
      </c>
      <c r="L29" s="81">
        <f t="shared" si="0"/>
        <v>24</v>
      </c>
      <c r="M29" s="5">
        <f t="shared" si="2"/>
        <v>40198.559999999998</v>
      </c>
      <c r="N29" s="5">
        <f t="shared" si="1"/>
        <v>1674.9399999999998</v>
      </c>
      <c r="O29" s="28" t="s">
        <v>2424</v>
      </c>
      <c r="P29" s="5" t="s">
        <v>2425</v>
      </c>
      <c r="Q29" s="5" t="s">
        <v>2555</v>
      </c>
      <c r="R29" s="38"/>
    </row>
    <row r="30" spans="1:18" ht="28.8">
      <c r="A30" s="5">
        <v>29</v>
      </c>
      <c r="B30" s="5">
        <v>71205</v>
      </c>
      <c r="C30" s="15" t="s">
        <v>1268</v>
      </c>
      <c r="D30" s="27" t="s">
        <v>1269</v>
      </c>
      <c r="E30" s="5">
        <v>31</v>
      </c>
      <c r="F30" s="5">
        <v>428</v>
      </c>
      <c r="G30" s="9" t="s">
        <v>2550</v>
      </c>
      <c r="H30" s="9">
        <v>2018</v>
      </c>
      <c r="I30" s="9">
        <v>0.83</v>
      </c>
      <c r="J30" s="82">
        <v>45127</v>
      </c>
      <c r="K30" s="82">
        <v>45867</v>
      </c>
      <c r="L30" s="81">
        <f t="shared" si="0"/>
        <v>24</v>
      </c>
      <c r="M30" s="5">
        <f t="shared" si="2"/>
        <v>40198.559999999998</v>
      </c>
      <c r="N30" s="5">
        <f t="shared" si="1"/>
        <v>1674.9399999999998</v>
      </c>
      <c r="O30" s="15" t="s">
        <v>1270</v>
      </c>
      <c r="P30" s="5" t="s">
        <v>1271</v>
      </c>
      <c r="Q30" s="5" t="s">
        <v>2557</v>
      </c>
      <c r="R30" s="38"/>
    </row>
    <row r="31" spans="1:18" ht="28.8">
      <c r="A31" s="5">
        <v>30</v>
      </c>
      <c r="B31" s="5" t="s">
        <v>1272</v>
      </c>
      <c r="C31" s="15" t="s">
        <v>1273</v>
      </c>
      <c r="D31" s="27" t="s">
        <v>1274</v>
      </c>
      <c r="E31" s="5">
        <v>31</v>
      </c>
      <c r="F31" s="5">
        <v>429</v>
      </c>
      <c r="G31" s="9" t="s">
        <v>2550</v>
      </c>
      <c r="H31" s="9">
        <v>2018</v>
      </c>
      <c r="I31" s="9">
        <v>0.83</v>
      </c>
      <c r="J31" s="82">
        <v>45127</v>
      </c>
      <c r="K31" s="82">
        <v>45867</v>
      </c>
      <c r="L31" s="81">
        <f t="shared" si="0"/>
        <v>24</v>
      </c>
      <c r="M31" s="5">
        <f t="shared" si="2"/>
        <v>40198.559999999998</v>
      </c>
      <c r="N31" s="5">
        <f t="shared" si="1"/>
        <v>1674.9399999999998</v>
      </c>
      <c r="O31" s="15" t="s">
        <v>1275</v>
      </c>
      <c r="P31" s="5" t="s">
        <v>1276</v>
      </c>
      <c r="Q31" s="5" t="s">
        <v>2554</v>
      </c>
      <c r="R31" s="38"/>
    </row>
    <row r="32" spans="1:18">
      <c r="A32" s="9">
        <v>31</v>
      </c>
      <c r="B32" s="5" t="s">
        <v>1277</v>
      </c>
      <c r="C32" s="15" t="s">
        <v>1278</v>
      </c>
      <c r="D32" s="27" t="s">
        <v>1279</v>
      </c>
      <c r="E32" s="5">
        <v>31</v>
      </c>
      <c r="F32" s="5">
        <v>430</v>
      </c>
      <c r="G32" s="9" t="s">
        <v>2550</v>
      </c>
      <c r="H32" s="9">
        <v>2018</v>
      </c>
      <c r="I32" s="9">
        <v>0.83</v>
      </c>
      <c r="J32" s="82">
        <v>45127</v>
      </c>
      <c r="K32" s="82">
        <v>45867</v>
      </c>
      <c r="L32" s="81">
        <f t="shared" si="0"/>
        <v>24</v>
      </c>
      <c r="M32" s="5">
        <f t="shared" si="2"/>
        <v>40198.559999999998</v>
      </c>
      <c r="N32" s="5">
        <f t="shared" si="1"/>
        <v>1674.9399999999998</v>
      </c>
      <c r="O32" s="15" t="s">
        <v>1280</v>
      </c>
      <c r="P32" s="5" t="s">
        <v>1281</v>
      </c>
      <c r="Q32" s="5" t="s">
        <v>2555</v>
      </c>
      <c r="R32" s="38"/>
    </row>
    <row r="33" spans="1:18" ht="28.8">
      <c r="A33" s="5">
        <v>32</v>
      </c>
      <c r="B33" s="5">
        <v>71130</v>
      </c>
      <c r="C33" s="15" t="s">
        <v>1282</v>
      </c>
      <c r="D33" s="27" t="s">
        <v>1283</v>
      </c>
      <c r="E33" s="5">
        <v>31</v>
      </c>
      <c r="F33" s="5">
        <v>431</v>
      </c>
      <c r="G33" s="9" t="s">
        <v>2550</v>
      </c>
      <c r="H33" s="9">
        <v>2018</v>
      </c>
      <c r="I33" s="9">
        <v>0.83</v>
      </c>
      <c r="J33" s="82">
        <v>45127</v>
      </c>
      <c r="K33" s="82">
        <v>45867</v>
      </c>
      <c r="L33" s="81">
        <f t="shared" si="0"/>
        <v>24</v>
      </c>
      <c r="M33" s="5">
        <f t="shared" si="2"/>
        <v>40198.559999999998</v>
      </c>
      <c r="N33" s="5">
        <f t="shared" si="1"/>
        <v>1674.9399999999998</v>
      </c>
      <c r="O33" s="15" t="s">
        <v>1284</v>
      </c>
      <c r="P33" s="5" t="s">
        <v>1285</v>
      </c>
      <c r="Q33" s="5" t="s">
        <v>2555</v>
      </c>
      <c r="R33" s="38"/>
    </row>
    <row r="34" spans="1:18">
      <c r="A34" s="5">
        <v>33</v>
      </c>
      <c r="B34" s="5">
        <v>71017</v>
      </c>
      <c r="C34" s="15" t="s">
        <v>1286</v>
      </c>
      <c r="D34" s="27" t="s">
        <v>1287</v>
      </c>
      <c r="E34" s="5">
        <v>31</v>
      </c>
      <c r="F34" s="5">
        <v>432</v>
      </c>
      <c r="G34" s="9" t="s">
        <v>2550</v>
      </c>
      <c r="H34" s="9">
        <v>2018</v>
      </c>
      <c r="I34" s="9">
        <v>0.83</v>
      </c>
      <c r="J34" s="82">
        <v>45127</v>
      </c>
      <c r="K34" s="82">
        <v>45867</v>
      </c>
      <c r="L34" s="81">
        <f t="shared" si="0"/>
        <v>24</v>
      </c>
      <c r="M34" s="5">
        <f t="shared" si="2"/>
        <v>40198.559999999998</v>
      </c>
      <c r="N34" s="5">
        <f t="shared" si="1"/>
        <v>1674.9399999999998</v>
      </c>
      <c r="O34" s="15" t="s">
        <v>380</v>
      </c>
      <c r="P34" s="5" t="s">
        <v>1288</v>
      </c>
      <c r="Q34" s="5" t="s">
        <v>2555</v>
      </c>
      <c r="R34" s="38"/>
    </row>
    <row r="35" spans="1:18" ht="28.8">
      <c r="A35" s="9">
        <v>34</v>
      </c>
      <c r="B35" s="5" t="s">
        <v>1289</v>
      </c>
      <c r="C35" s="15" t="s">
        <v>1290</v>
      </c>
      <c r="D35" s="27" t="s">
        <v>1291</v>
      </c>
      <c r="E35" s="5">
        <v>31</v>
      </c>
      <c r="F35" s="5">
        <v>433</v>
      </c>
      <c r="G35" s="9" t="s">
        <v>2550</v>
      </c>
      <c r="H35" s="9">
        <v>2018</v>
      </c>
      <c r="I35" s="9">
        <v>0.83</v>
      </c>
      <c r="J35" s="82">
        <v>45127</v>
      </c>
      <c r="K35" s="82">
        <v>45867</v>
      </c>
      <c r="L35" s="81">
        <f t="shared" si="0"/>
        <v>24</v>
      </c>
      <c r="M35" s="5">
        <f t="shared" si="2"/>
        <v>40198.559999999998</v>
      </c>
      <c r="N35" s="5">
        <f t="shared" si="1"/>
        <v>1674.9399999999998</v>
      </c>
      <c r="O35" s="15" t="s">
        <v>1292</v>
      </c>
      <c r="P35" s="5" t="s">
        <v>1293</v>
      </c>
      <c r="Q35" s="5" t="s">
        <v>2555</v>
      </c>
      <c r="R35" s="38"/>
    </row>
    <row r="36" spans="1:18" ht="28.8">
      <c r="A36" s="9">
        <v>35</v>
      </c>
      <c r="B36" s="5" t="s">
        <v>1294</v>
      </c>
      <c r="C36" s="15" t="s">
        <v>1295</v>
      </c>
      <c r="D36" s="27" t="s">
        <v>1296</v>
      </c>
      <c r="E36" s="5">
        <v>31</v>
      </c>
      <c r="F36" s="5">
        <v>434</v>
      </c>
      <c r="G36" s="9" t="s">
        <v>2550</v>
      </c>
      <c r="H36" s="9">
        <v>2018</v>
      </c>
      <c r="I36" s="9">
        <v>0.83</v>
      </c>
      <c r="J36" s="82">
        <v>45127</v>
      </c>
      <c r="K36" s="82">
        <v>45867</v>
      </c>
      <c r="L36" s="81">
        <f t="shared" si="0"/>
        <v>24</v>
      </c>
      <c r="M36" s="5">
        <f t="shared" si="2"/>
        <v>40198.559999999998</v>
      </c>
      <c r="N36" s="5">
        <f t="shared" si="1"/>
        <v>1674.9399999999998</v>
      </c>
      <c r="O36" s="28" t="s">
        <v>2369</v>
      </c>
      <c r="P36" s="5" t="s">
        <v>2370</v>
      </c>
      <c r="Q36" s="5" t="s">
        <v>2555</v>
      </c>
      <c r="R36" s="38"/>
    </row>
    <row r="37" spans="1:18">
      <c r="A37" s="5">
        <v>36</v>
      </c>
      <c r="B37" s="5" t="s">
        <v>1297</v>
      </c>
      <c r="C37" s="15" t="s">
        <v>1298</v>
      </c>
      <c r="D37" s="27" t="s">
        <v>1299</v>
      </c>
      <c r="E37" s="5">
        <v>31</v>
      </c>
      <c r="F37" s="5">
        <v>435</v>
      </c>
      <c r="G37" s="9" t="s">
        <v>2550</v>
      </c>
      <c r="H37" s="9">
        <v>2018</v>
      </c>
      <c r="I37" s="9">
        <v>0.83</v>
      </c>
      <c r="J37" s="82">
        <v>45127</v>
      </c>
      <c r="K37" s="82">
        <v>45867</v>
      </c>
      <c r="L37" s="81">
        <f t="shared" si="0"/>
        <v>24</v>
      </c>
      <c r="M37" s="5">
        <f t="shared" si="2"/>
        <v>40198.559999999998</v>
      </c>
      <c r="N37" s="5">
        <f t="shared" si="1"/>
        <v>1674.9399999999998</v>
      </c>
      <c r="O37" s="15" t="s">
        <v>1300</v>
      </c>
      <c r="P37" s="5" t="s">
        <v>1301</v>
      </c>
      <c r="Q37" s="5" t="s">
        <v>2555</v>
      </c>
      <c r="R37" s="38"/>
    </row>
    <row r="38" spans="1:18" ht="28.8">
      <c r="A38" s="9">
        <v>37</v>
      </c>
      <c r="B38" s="5">
        <v>71302</v>
      </c>
      <c r="C38" s="15" t="s">
        <v>178</v>
      </c>
      <c r="D38" s="27" t="s">
        <v>179</v>
      </c>
      <c r="E38" s="5">
        <v>32</v>
      </c>
      <c r="F38" s="5">
        <v>436</v>
      </c>
      <c r="G38" s="9" t="s">
        <v>2550</v>
      </c>
      <c r="H38" s="9">
        <v>2018</v>
      </c>
      <c r="I38" s="9">
        <v>0.83</v>
      </c>
      <c r="J38" s="82">
        <v>45127</v>
      </c>
      <c r="K38" s="82">
        <v>45867</v>
      </c>
      <c r="L38" s="81">
        <f t="shared" si="0"/>
        <v>24</v>
      </c>
      <c r="M38" s="5">
        <f t="shared" si="2"/>
        <v>40198.559999999998</v>
      </c>
      <c r="N38" s="5">
        <f t="shared" si="1"/>
        <v>1674.9399999999998</v>
      </c>
      <c r="O38" s="6" t="s">
        <v>180</v>
      </c>
      <c r="P38" s="5" t="s">
        <v>181</v>
      </c>
      <c r="Q38" s="16" t="s">
        <v>2554</v>
      </c>
      <c r="R38" s="38"/>
    </row>
    <row r="39" spans="1:18">
      <c r="A39" s="5">
        <v>38</v>
      </c>
      <c r="B39" s="5" t="s">
        <v>1302</v>
      </c>
      <c r="C39" s="15" t="s">
        <v>1303</v>
      </c>
      <c r="D39" s="27" t="s">
        <v>1304</v>
      </c>
      <c r="E39" s="5">
        <v>32</v>
      </c>
      <c r="F39" s="5">
        <v>437</v>
      </c>
      <c r="G39" s="9" t="s">
        <v>2550</v>
      </c>
      <c r="H39" s="9">
        <v>2018</v>
      </c>
      <c r="I39" s="9">
        <v>0.83</v>
      </c>
      <c r="J39" s="82">
        <v>45127</v>
      </c>
      <c r="K39" s="82">
        <v>45867</v>
      </c>
      <c r="L39" s="81">
        <f t="shared" si="0"/>
        <v>24</v>
      </c>
      <c r="M39" s="5">
        <f t="shared" si="2"/>
        <v>40198.559999999998</v>
      </c>
      <c r="N39" s="5">
        <f t="shared" si="1"/>
        <v>1674.9399999999998</v>
      </c>
      <c r="O39" s="15" t="s">
        <v>1305</v>
      </c>
      <c r="P39" s="5" t="s">
        <v>1306</v>
      </c>
      <c r="Q39" s="5" t="s">
        <v>2557</v>
      </c>
      <c r="R39" s="38"/>
    </row>
    <row r="40" spans="1:18">
      <c r="A40" s="5">
        <v>39</v>
      </c>
      <c r="B40" s="5" t="s">
        <v>1307</v>
      </c>
      <c r="C40" s="30" t="s">
        <v>1308</v>
      </c>
      <c r="D40" s="27" t="s">
        <v>1309</v>
      </c>
      <c r="E40" s="5">
        <v>32</v>
      </c>
      <c r="F40" s="5">
        <v>438</v>
      </c>
      <c r="G40" s="9" t="s">
        <v>2550</v>
      </c>
      <c r="H40" s="9">
        <v>2018</v>
      </c>
      <c r="I40" s="9">
        <v>0.83</v>
      </c>
      <c r="J40" s="82">
        <v>45127</v>
      </c>
      <c r="K40" s="82">
        <v>45867</v>
      </c>
      <c r="L40" s="81">
        <f t="shared" si="0"/>
        <v>24</v>
      </c>
      <c r="M40" s="5">
        <f t="shared" si="2"/>
        <v>40198.559999999998</v>
      </c>
      <c r="N40" s="5">
        <f t="shared" si="1"/>
        <v>1674.9399999999998</v>
      </c>
      <c r="O40" s="15" t="s">
        <v>1310</v>
      </c>
      <c r="P40" s="5" t="s">
        <v>1311</v>
      </c>
      <c r="Q40" s="5" t="s">
        <v>2557</v>
      </c>
      <c r="R40" s="38"/>
    </row>
    <row r="41" spans="1:18">
      <c r="A41" s="9">
        <v>40</v>
      </c>
      <c r="B41" s="5" t="s">
        <v>1312</v>
      </c>
      <c r="C41" s="15" t="s">
        <v>1313</v>
      </c>
      <c r="D41" s="27" t="s">
        <v>1314</v>
      </c>
      <c r="E41" s="5">
        <v>32</v>
      </c>
      <c r="F41" s="5">
        <v>439</v>
      </c>
      <c r="G41" s="9" t="s">
        <v>2550</v>
      </c>
      <c r="H41" s="9">
        <v>2018</v>
      </c>
      <c r="I41" s="9">
        <v>0.83</v>
      </c>
      <c r="J41" s="82">
        <v>45127</v>
      </c>
      <c r="K41" s="82">
        <v>45867</v>
      </c>
      <c r="L41" s="81">
        <f t="shared" si="0"/>
        <v>24</v>
      </c>
      <c r="M41" s="5">
        <f t="shared" si="2"/>
        <v>40198.559999999998</v>
      </c>
      <c r="N41" s="5">
        <f t="shared" si="1"/>
        <v>1674.9399999999998</v>
      </c>
      <c r="O41" s="15" t="s">
        <v>1315</v>
      </c>
      <c r="P41" s="5" t="s">
        <v>1316</v>
      </c>
      <c r="Q41" s="5" t="s">
        <v>2554</v>
      </c>
      <c r="R41" s="38"/>
    </row>
    <row r="42" spans="1:18">
      <c r="A42" s="5">
        <v>41</v>
      </c>
      <c r="B42" s="5" t="s">
        <v>1317</v>
      </c>
      <c r="C42" s="15" t="s">
        <v>1318</v>
      </c>
      <c r="D42" s="27" t="s">
        <v>1319</v>
      </c>
      <c r="E42" s="5">
        <v>32</v>
      </c>
      <c r="F42" s="5">
        <v>440</v>
      </c>
      <c r="G42" s="9" t="s">
        <v>2550</v>
      </c>
      <c r="H42" s="9">
        <v>2018</v>
      </c>
      <c r="I42" s="9">
        <v>0.83</v>
      </c>
      <c r="J42" s="82">
        <v>45127</v>
      </c>
      <c r="K42" s="82">
        <v>45867</v>
      </c>
      <c r="L42" s="81">
        <f t="shared" si="0"/>
        <v>24</v>
      </c>
      <c r="M42" s="5">
        <f t="shared" si="2"/>
        <v>40198.559999999998</v>
      </c>
      <c r="N42" s="5">
        <f t="shared" si="1"/>
        <v>1674.9399999999998</v>
      </c>
      <c r="O42" s="28" t="s">
        <v>1320</v>
      </c>
      <c r="P42" s="5" t="s">
        <v>1321</v>
      </c>
      <c r="Q42" s="5" t="s">
        <v>2555</v>
      </c>
      <c r="R42" s="38"/>
    </row>
    <row r="43" spans="1:18">
      <c r="A43" s="5">
        <v>42</v>
      </c>
      <c r="B43" s="5" t="s">
        <v>1322</v>
      </c>
      <c r="C43" s="15" t="s">
        <v>1323</v>
      </c>
      <c r="D43" s="27" t="s">
        <v>1324</v>
      </c>
      <c r="E43" s="5">
        <v>32</v>
      </c>
      <c r="F43" s="5">
        <v>441</v>
      </c>
      <c r="G43" s="9" t="s">
        <v>2550</v>
      </c>
      <c r="H43" s="9">
        <v>2018</v>
      </c>
      <c r="I43" s="9">
        <v>0.83</v>
      </c>
      <c r="J43" s="82">
        <v>45127</v>
      </c>
      <c r="K43" s="82">
        <v>45867</v>
      </c>
      <c r="L43" s="81">
        <f t="shared" si="0"/>
        <v>24</v>
      </c>
      <c r="M43" s="5">
        <f t="shared" si="2"/>
        <v>40198.559999999998</v>
      </c>
      <c r="N43" s="5">
        <f t="shared" si="1"/>
        <v>1674.9399999999998</v>
      </c>
      <c r="O43" s="15" t="s">
        <v>1217</v>
      </c>
      <c r="P43" s="5" t="s">
        <v>1218</v>
      </c>
      <c r="Q43" s="5" t="s">
        <v>2555</v>
      </c>
      <c r="R43" s="38"/>
    </row>
    <row r="44" spans="1:18">
      <c r="A44" s="9">
        <v>43</v>
      </c>
      <c r="B44" s="5">
        <v>71022</v>
      </c>
      <c r="C44" s="15" t="s">
        <v>1325</v>
      </c>
      <c r="D44" s="27" t="s">
        <v>1327</v>
      </c>
      <c r="E44" s="5">
        <v>32</v>
      </c>
      <c r="F44" s="5" t="s">
        <v>1326</v>
      </c>
      <c r="G44" s="9" t="s">
        <v>2550</v>
      </c>
      <c r="H44" s="9">
        <v>2018</v>
      </c>
      <c r="I44" s="9">
        <v>0.83</v>
      </c>
      <c r="J44" s="82">
        <v>45127</v>
      </c>
      <c r="K44" s="82">
        <v>45867</v>
      </c>
      <c r="L44" s="81">
        <f t="shared" si="0"/>
        <v>24</v>
      </c>
      <c r="M44" s="5">
        <f t="shared" si="2"/>
        <v>40198.559999999998</v>
      </c>
      <c r="N44" s="5">
        <f t="shared" si="1"/>
        <v>1674.9399999999998</v>
      </c>
      <c r="O44" s="15" t="s">
        <v>1217</v>
      </c>
      <c r="P44" s="5" t="s">
        <v>1328</v>
      </c>
      <c r="Q44" s="5" t="s">
        <v>2555</v>
      </c>
      <c r="R44" s="38"/>
    </row>
    <row r="45" spans="1:18">
      <c r="A45" s="5">
        <v>44</v>
      </c>
      <c r="B45" s="5">
        <v>71078</v>
      </c>
      <c r="C45" s="15" t="s">
        <v>1329</v>
      </c>
      <c r="D45" s="27" t="s">
        <v>1330</v>
      </c>
      <c r="E45" s="5">
        <v>32</v>
      </c>
      <c r="F45" s="5">
        <v>442</v>
      </c>
      <c r="G45" s="9" t="s">
        <v>2550</v>
      </c>
      <c r="H45" s="9">
        <v>2018</v>
      </c>
      <c r="I45" s="9">
        <v>0.83</v>
      </c>
      <c r="J45" s="82">
        <v>45127</v>
      </c>
      <c r="K45" s="82">
        <v>45867</v>
      </c>
      <c r="L45" s="81">
        <f t="shared" si="0"/>
        <v>24</v>
      </c>
      <c r="M45" s="5">
        <f t="shared" si="2"/>
        <v>40198.559999999998</v>
      </c>
      <c r="N45" s="5">
        <f t="shared" si="1"/>
        <v>1674.9399999999998</v>
      </c>
      <c r="O45" s="15" t="s">
        <v>1331</v>
      </c>
      <c r="P45" s="5" t="s">
        <v>1332</v>
      </c>
      <c r="Q45" s="5" t="s">
        <v>2555</v>
      </c>
      <c r="R45" s="38"/>
    </row>
    <row r="46" spans="1:18">
      <c r="A46" s="5">
        <v>45</v>
      </c>
      <c r="B46" s="5" t="s">
        <v>1333</v>
      </c>
      <c r="C46" s="15" t="s">
        <v>1334</v>
      </c>
      <c r="D46" s="27" t="s">
        <v>1335</v>
      </c>
      <c r="E46" s="5">
        <v>32</v>
      </c>
      <c r="F46" s="5">
        <v>443</v>
      </c>
      <c r="G46" s="9" t="s">
        <v>2550</v>
      </c>
      <c r="H46" s="9">
        <v>2018</v>
      </c>
      <c r="I46" s="9">
        <v>0.83</v>
      </c>
      <c r="J46" s="82">
        <v>45127</v>
      </c>
      <c r="K46" s="82">
        <v>45867</v>
      </c>
      <c r="L46" s="81">
        <f t="shared" si="0"/>
        <v>24</v>
      </c>
      <c r="M46" s="5">
        <f t="shared" si="2"/>
        <v>40198.559999999998</v>
      </c>
      <c r="N46" s="5">
        <f t="shared" si="1"/>
        <v>1674.9399999999998</v>
      </c>
      <c r="O46" s="28" t="s">
        <v>1336</v>
      </c>
      <c r="P46" s="5" t="s">
        <v>1337</v>
      </c>
      <c r="Q46" s="5" t="s">
        <v>2554</v>
      </c>
      <c r="R46" s="38"/>
    </row>
    <row r="47" spans="1:18">
      <c r="A47" s="9">
        <v>46</v>
      </c>
      <c r="B47" s="5">
        <v>71092</v>
      </c>
      <c r="C47" s="15" t="s">
        <v>1338</v>
      </c>
      <c r="D47" s="27" t="s">
        <v>1339</v>
      </c>
      <c r="E47" s="5">
        <v>32</v>
      </c>
      <c r="F47" s="5">
        <v>444</v>
      </c>
      <c r="G47" s="9" t="s">
        <v>2550</v>
      </c>
      <c r="H47" s="9">
        <v>2018</v>
      </c>
      <c r="I47" s="9">
        <v>0.83</v>
      </c>
      <c r="J47" s="82">
        <v>45127</v>
      </c>
      <c r="K47" s="82">
        <v>45867</v>
      </c>
      <c r="L47" s="81">
        <f t="shared" si="0"/>
        <v>24</v>
      </c>
      <c r="M47" s="5">
        <f t="shared" si="2"/>
        <v>40198.559999999998</v>
      </c>
      <c r="N47" s="5">
        <f t="shared" si="1"/>
        <v>1674.9399999999998</v>
      </c>
      <c r="O47" s="15" t="s">
        <v>1340</v>
      </c>
      <c r="P47" s="5" t="s">
        <v>1341</v>
      </c>
      <c r="Q47" s="5" t="s">
        <v>2555</v>
      </c>
      <c r="R47" s="38"/>
    </row>
    <row r="48" spans="1:18">
      <c r="A48" s="5">
        <v>47</v>
      </c>
      <c r="B48" s="5" t="s">
        <v>1342</v>
      </c>
      <c r="C48" s="15" t="s">
        <v>1343</v>
      </c>
      <c r="D48" s="27" t="s">
        <v>1344</v>
      </c>
      <c r="E48" s="5">
        <v>32</v>
      </c>
      <c r="F48" s="5">
        <v>445</v>
      </c>
      <c r="G48" s="9" t="s">
        <v>2550</v>
      </c>
      <c r="H48" s="9">
        <v>2018</v>
      </c>
      <c r="I48" s="9">
        <v>0.83</v>
      </c>
      <c r="J48" s="82">
        <v>45127</v>
      </c>
      <c r="K48" s="82">
        <v>45867</v>
      </c>
      <c r="L48" s="81">
        <f t="shared" si="0"/>
        <v>24</v>
      </c>
      <c r="M48" s="5">
        <f t="shared" si="2"/>
        <v>40198.559999999998</v>
      </c>
      <c r="N48" s="5">
        <f t="shared" si="1"/>
        <v>1674.9399999999998</v>
      </c>
      <c r="O48" s="28" t="s">
        <v>1345</v>
      </c>
      <c r="P48" s="5" t="s">
        <v>1346</v>
      </c>
      <c r="Q48" s="5" t="s">
        <v>2555</v>
      </c>
      <c r="R48" s="38"/>
    </row>
    <row r="49" spans="1:18">
      <c r="A49" s="5">
        <v>48</v>
      </c>
      <c r="B49" s="5" t="s">
        <v>1347</v>
      </c>
      <c r="C49" s="15" t="s">
        <v>1348</v>
      </c>
      <c r="D49" s="27" t="s">
        <v>1349</v>
      </c>
      <c r="E49" s="5">
        <v>32</v>
      </c>
      <c r="F49" s="5">
        <v>446</v>
      </c>
      <c r="G49" s="9" t="s">
        <v>2550</v>
      </c>
      <c r="H49" s="9">
        <v>2018</v>
      </c>
      <c r="I49" s="9">
        <v>0.83</v>
      </c>
      <c r="J49" s="82">
        <v>45127</v>
      </c>
      <c r="K49" s="82">
        <v>45867</v>
      </c>
      <c r="L49" s="81">
        <f t="shared" si="0"/>
        <v>24</v>
      </c>
      <c r="M49" s="5">
        <f t="shared" si="2"/>
        <v>40198.559999999998</v>
      </c>
      <c r="N49" s="5">
        <f t="shared" si="1"/>
        <v>1674.9399999999998</v>
      </c>
      <c r="O49" s="28" t="s">
        <v>1350</v>
      </c>
      <c r="P49" s="5" t="s">
        <v>539</v>
      </c>
      <c r="Q49" s="5" t="s">
        <v>2555</v>
      </c>
      <c r="R49" s="38"/>
    </row>
    <row r="50" spans="1:18" ht="28.8">
      <c r="A50" s="9">
        <v>49</v>
      </c>
      <c r="B50" s="5" t="s">
        <v>1351</v>
      </c>
      <c r="C50" s="15" t="s">
        <v>1352</v>
      </c>
      <c r="D50" s="27" t="s">
        <v>1353</v>
      </c>
      <c r="E50" s="5">
        <v>32</v>
      </c>
      <c r="F50" s="5">
        <v>447</v>
      </c>
      <c r="G50" s="9" t="s">
        <v>2550</v>
      </c>
      <c r="H50" s="9">
        <v>2018</v>
      </c>
      <c r="I50" s="9">
        <v>0.83</v>
      </c>
      <c r="J50" s="82">
        <v>45127</v>
      </c>
      <c r="K50" s="82">
        <v>45867</v>
      </c>
      <c r="L50" s="81">
        <f t="shared" si="0"/>
        <v>24</v>
      </c>
      <c r="M50" s="5">
        <f t="shared" si="2"/>
        <v>40198.559999999998</v>
      </c>
      <c r="N50" s="5">
        <f t="shared" si="1"/>
        <v>1674.9399999999998</v>
      </c>
      <c r="O50" s="15" t="s">
        <v>1354</v>
      </c>
      <c r="P50" s="5" t="s">
        <v>1355</v>
      </c>
      <c r="Q50" s="5" t="s">
        <v>2555</v>
      </c>
      <c r="R50" s="38"/>
    </row>
    <row r="51" spans="1:18" ht="28.8">
      <c r="A51" s="5">
        <v>50</v>
      </c>
      <c r="B51" s="5">
        <v>71315</v>
      </c>
      <c r="C51" s="15" t="s">
        <v>1356</v>
      </c>
      <c r="D51" s="27" t="s">
        <v>1357</v>
      </c>
      <c r="E51" s="5">
        <v>33</v>
      </c>
      <c r="F51" s="5">
        <v>448</v>
      </c>
      <c r="G51" s="9" t="s">
        <v>2550</v>
      </c>
      <c r="H51" s="9">
        <v>2018</v>
      </c>
      <c r="I51" s="9">
        <v>0.83</v>
      </c>
      <c r="J51" s="82">
        <v>45127</v>
      </c>
      <c r="K51" s="82">
        <v>45867</v>
      </c>
      <c r="L51" s="81">
        <f t="shared" si="0"/>
        <v>24</v>
      </c>
      <c r="M51" s="5">
        <f t="shared" si="2"/>
        <v>40198.559999999998</v>
      </c>
      <c r="N51" s="5">
        <f t="shared" si="1"/>
        <v>1674.9399999999998</v>
      </c>
      <c r="O51" s="15" t="s">
        <v>1358</v>
      </c>
      <c r="P51" s="5" t="s">
        <v>1359</v>
      </c>
      <c r="Q51" s="5" t="s">
        <v>2555</v>
      </c>
      <c r="R51" s="38"/>
    </row>
    <row r="52" spans="1:18">
      <c r="A52" s="5">
        <v>51</v>
      </c>
      <c r="B52" s="5">
        <v>71208</v>
      </c>
      <c r="C52" s="15" t="s">
        <v>1360</v>
      </c>
      <c r="D52" s="27" t="s">
        <v>1361</v>
      </c>
      <c r="E52" s="5">
        <v>33</v>
      </c>
      <c r="F52" s="5">
        <v>449</v>
      </c>
      <c r="G52" s="9" t="s">
        <v>2550</v>
      </c>
      <c r="H52" s="9">
        <v>2018</v>
      </c>
      <c r="I52" s="9">
        <v>0.83</v>
      </c>
      <c r="J52" s="82">
        <v>45127</v>
      </c>
      <c r="K52" s="82">
        <v>45867</v>
      </c>
      <c r="L52" s="81">
        <f t="shared" si="0"/>
        <v>24</v>
      </c>
      <c r="M52" s="5">
        <f t="shared" si="2"/>
        <v>40198.559999999998</v>
      </c>
      <c r="N52" s="5">
        <f t="shared" si="1"/>
        <v>1674.9399999999998</v>
      </c>
      <c r="O52" s="15" t="s">
        <v>1362</v>
      </c>
      <c r="P52" s="5" t="s">
        <v>1363</v>
      </c>
      <c r="Q52" s="5" t="s">
        <v>2555</v>
      </c>
      <c r="R52" s="38"/>
    </row>
    <row r="53" spans="1:18">
      <c r="A53" s="9">
        <v>52</v>
      </c>
      <c r="B53" s="5" t="s">
        <v>1364</v>
      </c>
      <c r="C53" s="15" t="s">
        <v>1365</v>
      </c>
      <c r="D53" s="27" t="s">
        <v>1366</v>
      </c>
      <c r="E53" s="5">
        <v>33</v>
      </c>
      <c r="F53" s="5">
        <v>450</v>
      </c>
      <c r="G53" s="9" t="s">
        <v>2550</v>
      </c>
      <c r="H53" s="9">
        <v>2018</v>
      </c>
      <c r="I53" s="9">
        <v>0.83</v>
      </c>
      <c r="J53" s="82">
        <v>45127</v>
      </c>
      <c r="K53" s="82">
        <v>45867</v>
      </c>
      <c r="L53" s="81">
        <f t="shared" si="0"/>
        <v>24</v>
      </c>
      <c r="M53" s="5">
        <f t="shared" si="2"/>
        <v>40198.559999999998</v>
      </c>
      <c r="N53" s="5">
        <f t="shared" si="1"/>
        <v>1674.9399999999998</v>
      </c>
      <c r="O53" s="28" t="s">
        <v>1367</v>
      </c>
      <c r="P53" s="5" t="s">
        <v>1368</v>
      </c>
      <c r="Q53" s="5" t="s">
        <v>2555</v>
      </c>
      <c r="R53" s="38"/>
    </row>
    <row r="54" spans="1:18">
      <c r="A54" s="5">
        <v>53</v>
      </c>
      <c r="B54" s="5" t="s">
        <v>1369</v>
      </c>
      <c r="C54" s="15" t="s">
        <v>1370</v>
      </c>
      <c r="D54" s="27" t="s">
        <v>1371</v>
      </c>
      <c r="E54" s="5">
        <v>33</v>
      </c>
      <c r="F54" s="5">
        <v>451</v>
      </c>
      <c r="G54" s="9" t="s">
        <v>2550</v>
      </c>
      <c r="H54" s="9">
        <v>2018</v>
      </c>
      <c r="I54" s="9">
        <v>0.83</v>
      </c>
      <c r="J54" s="82">
        <v>45127</v>
      </c>
      <c r="K54" s="82">
        <v>45867</v>
      </c>
      <c r="L54" s="81">
        <f t="shared" si="0"/>
        <v>24</v>
      </c>
      <c r="M54" s="5">
        <f t="shared" si="2"/>
        <v>40198.559999999998</v>
      </c>
      <c r="N54" s="5">
        <f t="shared" si="1"/>
        <v>1674.9399999999998</v>
      </c>
      <c r="O54" s="28" t="s">
        <v>1372</v>
      </c>
      <c r="P54" s="5" t="s">
        <v>1373</v>
      </c>
      <c r="Q54" s="5" t="s">
        <v>2555</v>
      </c>
      <c r="R54" s="38"/>
    </row>
    <row r="55" spans="1:18">
      <c r="A55" s="5">
        <v>54</v>
      </c>
      <c r="B55" s="5" t="s">
        <v>1374</v>
      </c>
      <c r="C55" s="15" t="s">
        <v>1375</v>
      </c>
      <c r="D55" s="27" t="s">
        <v>1376</v>
      </c>
      <c r="E55" s="5">
        <v>33</v>
      </c>
      <c r="F55" s="5">
        <v>452</v>
      </c>
      <c r="G55" s="9" t="s">
        <v>2550</v>
      </c>
      <c r="H55" s="9">
        <v>2018</v>
      </c>
      <c r="I55" s="9">
        <v>0.83</v>
      </c>
      <c r="J55" s="82">
        <v>45127</v>
      </c>
      <c r="K55" s="82">
        <v>45867</v>
      </c>
      <c r="L55" s="81">
        <f t="shared" si="0"/>
        <v>24</v>
      </c>
      <c r="M55" s="5">
        <f t="shared" si="2"/>
        <v>40198.559999999998</v>
      </c>
      <c r="N55" s="5">
        <f t="shared" si="1"/>
        <v>1674.9399999999998</v>
      </c>
      <c r="O55" s="28" t="s">
        <v>1377</v>
      </c>
      <c r="P55" s="5" t="s">
        <v>1378</v>
      </c>
      <c r="Q55" s="5" t="s">
        <v>2554</v>
      </c>
      <c r="R55" s="38"/>
    </row>
    <row r="56" spans="1:18">
      <c r="A56" s="9">
        <v>55</v>
      </c>
      <c r="B56" s="5" t="s">
        <v>1379</v>
      </c>
      <c r="C56" s="30" t="s">
        <v>1380</v>
      </c>
      <c r="D56" s="27" t="s">
        <v>1381</v>
      </c>
      <c r="E56" s="5">
        <v>33</v>
      </c>
      <c r="F56" s="5">
        <v>453</v>
      </c>
      <c r="G56" s="9" t="s">
        <v>2550</v>
      </c>
      <c r="H56" s="9">
        <v>2018</v>
      </c>
      <c r="I56" s="9">
        <v>0.83</v>
      </c>
      <c r="J56" s="82">
        <v>45127</v>
      </c>
      <c r="K56" s="82">
        <v>45867</v>
      </c>
      <c r="L56" s="81">
        <f t="shared" si="0"/>
        <v>24</v>
      </c>
      <c r="M56" s="5">
        <f t="shared" si="2"/>
        <v>40198.559999999998</v>
      </c>
      <c r="N56" s="5">
        <f t="shared" si="1"/>
        <v>1674.9399999999998</v>
      </c>
      <c r="O56" s="15" t="s">
        <v>1382</v>
      </c>
      <c r="P56" s="5" t="s">
        <v>1383</v>
      </c>
      <c r="Q56" s="5" t="s">
        <v>2557</v>
      </c>
      <c r="R56" s="38"/>
    </row>
    <row r="57" spans="1:18" ht="28.8">
      <c r="A57" s="5">
        <v>56</v>
      </c>
      <c r="B57" s="5">
        <v>71210</v>
      </c>
      <c r="C57" s="15" t="s">
        <v>1384</v>
      </c>
      <c r="D57" s="27" t="s">
        <v>1024</v>
      </c>
      <c r="E57" s="5">
        <v>33</v>
      </c>
      <c r="F57" s="5">
        <v>454</v>
      </c>
      <c r="G57" s="9" t="s">
        <v>2550</v>
      </c>
      <c r="H57" s="9">
        <v>2018</v>
      </c>
      <c r="I57" s="9">
        <v>0.83</v>
      </c>
      <c r="J57" s="82">
        <v>45127</v>
      </c>
      <c r="K57" s="82">
        <v>45867</v>
      </c>
      <c r="L57" s="81">
        <f t="shared" si="0"/>
        <v>24</v>
      </c>
      <c r="M57" s="5">
        <f t="shared" si="2"/>
        <v>40198.559999999998</v>
      </c>
      <c r="N57" s="5">
        <f t="shared" si="1"/>
        <v>1674.9399999999998</v>
      </c>
      <c r="O57" s="15" t="s">
        <v>1385</v>
      </c>
      <c r="P57" s="5" t="s">
        <v>1026</v>
      </c>
      <c r="Q57" s="5" t="s">
        <v>2555</v>
      </c>
      <c r="R57" s="38"/>
    </row>
    <row r="58" spans="1:18">
      <c r="A58" s="5">
        <v>57</v>
      </c>
      <c r="B58" s="5" t="s">
        <v>1386</v>
      </c>
      <c r="C58" s="15" t="s">
        <v>1387</v>
      </c>
      <c r="D58" s="27" t="s">
        <v>572</v>
      </c>
      <c r="E58" s="5">
        <v>33</v>
      </c>
      <c r="F58" s="5">
        <v>455</v>
      </c>
      <c r="G58" s="9" t="s">
        <v>2550</v>
      </c>
      <c r="H58" s="9">
        <v>2018</v>
      </c>
      <c r="I58" s="9">
        <v>0.83</v>
      </c>
      <c r="J58" s="82">
        <v>45127</v>
      </c>
      <c r="K58" s="82">
        <v>45867</v>
      </c>
      <c r="L58" s="81">
        <f t="shared" si="0"/>
        <v>24</v>
      </c>
      <c r="M58" s="5">
        <f t="shared" si="2"/>
        <v>40198.559999999998</v>
      </c>
      <c r="N58" s="5">
        <f t="shared" si="1"/>
        <v>1674.9399999999998</v>
      </c>
      <c r="O58" s="15" t="s">
        <v>1388</v>
      </c>
      <c r="P58" s="5" t="s">
        <v>574</v>
      </c>
      <c r="Q58" s="5" t="s">
        <v>2555</v>
      </c>
      <c r="R58" s="38"/>
    </row>
    <row r="59" spans="1:18">
      <c r="A59" s="9">
        <v>58</v>
      </c>
      <c r="B59" s="5">
        <v>71221</v>
      </c>
      <c r="C59" s="15" t="s">
        <v>1389</v>
      </c>
      <c r="D59" s="27" t="s">
        <v>1390</v>
      </c>
      <c r="E59" s="5">
        <v>33</v>
      </c>
      <c r="F59" s="5">
        <v>456</v>
      </c>
      <c r="G59" s="9" t="s">
        <v>2550</v>
      </c>
      <c r="H59" s="9">
        <v>2018</v>
      </c>
      <c r="I59" s="9">
        <v>0.83</v>
      </c>
      <c r="J59" s="82">
        <v>45127</v>
      </c>
      <c r="K59" s="82">
        <v>45867</v>
      </c>
      <c r="L59" s="81">
        <f t="shared" si="0"/>
        <v>24</v>
      </c>
      <c r="M59" s="5">
        <f t="shared" si="2"/>
        <v>40198.559999999998</v>
      </c>
      <c r="N59" s="5">
        <f t="shared" si="1"/>
        <v>1674.9399999999998</v>
      </c>
      <c r="O59" s="15" t="s">
        <v>1391</v>
      </c>
      <c r="P59" s="5" t="s">
        <v>1392</v>
      </c>
      <c r="Q59" s="5" t="s">
        <v>2555</v>
      </c>
      <c r="R59" s="38"/>
    </row>
    <row r="60" spans="1:18">
      <c r="A60" s="5">
        <v>59</v>
      </c>
      <c r="B60" s="5" t="s">
        <v>1393</v>
      </c>
      <c r="C60" s="15" t="s">
        <v>1394</v>
      </c>
      <c r="D60" s="27" t="s">
        <v>1395</v>
      </c>
      <c r="E60" s="5">
        <v>33</v>
      </c>
      <c r="F60" s="5">
        <v>457</v>
      </c>
      <c r="G60" s="9" t="s">
        <v>2550</v>
      </c>
      <c r="H60" s="9">
        <v>2018</v>
      </c>
      <c r="I60" s="9">
        <v>0.83</v>
      </c>
      <c r="J60" s="82">
        <v>45127</v>
      </c>
      <c r="K60" s="82">
        <v>45867</v>
      </c>
      <c r="L60" s="81">
        <f t="shared" si="0"/>
        <v>24</v>
      </c>
      <c r="M60" s="5">
        <f t="shared" si="2"/>
        <v>40198.559999999998</v>
      </c>
      <c r="N60" s="5">
        <f t="shared" si="1"/>
        <v>1674.9399999999998</v>
      </c>
      <c r="O60" s="15" t="s">
        <v>1396</v>
      </c>
      <c r="P60" s="5" t="s">
        <v>1397</v>
      </c>
      <c r="Q60" s="5" t="s">
        <v>2555</v>
      </c>
      <c r="R60" s="38"/>
    </row>
    <row r="61" spans="1:18">
      <c r="A61" s="5">
        <v>60</v>
      </c>
      <c r="B61" s="5" t="s">
        <v>1398</v>
      </c>
      <c r="C61" s="15" t="s">
        <v>1399</v>
      </c>
      <c r="D61" s="27" t="s">
        <v>1400</v>
      </c>
      <c r="E61" s="5">
        <v>33</v>
      </c>
      <c r="F61" s="5">
        <v>458</v>
      </c>
      <c r="G61" s="9" t="s">
        <v>2550</v>
      </c>
      <c r="H61" s="9">
        <v>2018</v>
      </c>
      <c r="I61" s="9">
        <v>0.83</v>
      </c>
      <c r="J61" s="82">
        <v>45127</v>
      </c>
      <c r="K61" s="82">
        <v>45867</v>
      </c>
      <c r="L61" s="81">
        <f t="shared" si="0"/>
        <v>24</v>
      </c>
      <c r="M61" s="5">
        <f t="shared" si="2"/>
        <v>40198.559999999998</v>
      </c>
      <c r="N61" s="5">
        <f t="shared" si="1"/>
        <v>1674.9399999999998</v>
      </c>
      <c r="O61" s="15" t="s">
        <v>1401</v>
      </c>
      <c r="P61" s="5" t="s">
        <v>1402</v>
      </c>
      <c r="Q61" s="5" t="s">
        <v>2555</v>
      </c>
      <c r="R61" s="38"/>
    </row>
    <row r="62" spans="1:18">
      <c r="A62" s="9">
        <v>61</v>
      </c>
      <c r="B62" s="5" t="s">
        <v>2372</v>
      </c>
      <c r="C62" s="15" t="s">
        <v>2371</v>
      </c>
      <c r="D62" s="27" t="s">
        <v>2373</v>
      </c>
      <c r="E62" s="5">
        <v>33</v>
      </c>
      <c r="F62" s="5">
        <v>459</v>
      </c>
      <c r="G62" s="9" t="s">
        <v>2550</v>
      </c>
      <c r="H62" s="9">
        <v>2018</v>
      </c>
      <c r="I62" s="9">
        <v>0.83</v>
      </c>
      <c r="J62" s="82">
        <v>45127</v>
      </c>
      <c r="K62" s="82">
        <v>45867</v>
      </c>
      <c r="L62" s="81">
        <f t="shared" si="0"/>
        <v>24</v>
      </c>
      <c r="M62" s="5">
        <f t="shared" si="2"/>
        <v>40198.559999999998</v>
      </c>
      <c r="N62" s="5">
        <f t="shared" si="1"/>
        <v>1674.9399999999998</v>
      </c>
      <c r="O62" s="28" t="s">
        <v>2374</v>
      </c>
      <c r="P62" s="5" t="s">
        <v>2375</v>
      </c>
      <c r="Q62" s="5" t="s">
        <v>2555</v>
      </c>
      <c r="R62" s="38"/>
    </row>
    <row r="63" spans="1:18" ht="28.8">
      <c r="A63" s="5">
        <v>62</v>
      </c>
      <c r="B63" s="5">
        <v>71284</v>
      </c>
      <c r="C63" s="15" t="s">
        <v>1403</v>
      </c>
      <c r="D63" s="27" t="s">
        <v>1404</v>
      </c>
      <c r="E63" s="5">
        <v>34</v>
      </c>
      <c r="F63" s="5">
        <v>460</v>
      </c>
      <c r="G63" s="9" t="s">
        <v>2550</v>
      </c>
      <c r="H63" s="9">
        <v>2018</v>
      </c>
      <c r="I63" s="9">
        <v>0.83</v>
      </c>
      <c r="J63" s="82">
        <v>45127</v>
      </c>
      <c r="K63" s="82">
        <v>45867</v>
      </c>
      <c r="L63" s="81">
        <f t="shared" si="0"/>
        <v>24</v>
      </c>
      <c r="M63" s="5">
        <f t="shared" si="2"/>
        <v>40198.559999999998</v>
      </c>
      <c r="N63" s="5">
        <f t="shared" si="1"/>
        <v>1674.9399999999998</v>
      </c>
      <c r="O63" s="15" t="s">
        <v>1405</v>
      </c>
      <c r="P63" s="5" t="s">
        <v>1406</v>
      </c>
      <c r="Q63" s="5" t="s">
        <v>2555</v>
      </c>
      <c r="R63" s="38"/>
    </row>
    <row r="64" spans="1:18">
      <c r="A64" s="5">
        <v>63</v>
      </c>
      <c r="B64" s="5" t="s">
        <v>1407</v>
      </c>
      <c r="C64" s="15" t="s">
        <v>1408</v>
      </c>
      <c r="D64" s="27" t="s">
        <v>1409</v>
      </c>
      <c r="E64" s="5">
        <v>34</v>
      </c>
      <c r="F64" s="5">
        <v>461</v>
      </c>
      <c r="G64" s="9" t="s">
        <v>2550</v>
      </c>
      <c r="H64" s="9">
        <v>2018</v>
      </c>
      <c r="I64" s="9">
        <v>0.83</v>
      </c>
      <c r="J64" s="82">
        <v>45127</v>
      </c>
      <c r="K64" s="82">
        <v>45867</v>
      </c>
      <c r="L64" s="81">
        <f t="shared" si="0"/>
        <v>24</v>
      </c>
      <c r="M64" s="5">
        <f t="shared" si="2"/>
        <v>40198.559999999998</v>
      </c>
      <c r="N64" s="5">
        <f t="shared" si="1"/>
        <v>1674.9399999999998</v>
      </c>
      <c r="O64" s="15" t="s">
        <v>1410</v>
      </c>
      <c r="P64" s="5" t="s">
        <v>1411</v>
      </c>
      <c r="Q64" s="5" t="s">
        <v>2555</v>
      </c>
      <c r="R64" s="38"/>
    </row>
    <row r="65" spans="1:18">
      <c r="A65" s="9">
        <v>64</v>
      </c>
      <c r="B65" s="5">
        <v>71053</v>
      </c>
      <c r="C65" s="15" t="s">
        <v>1412</v>
      </c>
      <c r="D65" s="27" t="s">
        <v>1413</v>
      </c>
      <c r="E65" s="5">
        <v>34</v>
      </c>
      <c r="F65" s="5">
        <v>462</v>
      </c>
      <c r="G65" s="9" t="s">
        <v>2550</v>
      </c>
      <c r="H65" s="9">
        <v>2018</v>
      </c>
      <c r="I65" s="9">
        <v>0.83</v>
      </c>
      <c r="J65" s="82">
        <v>45127</v>
      </c>
      <c r="K65" s="82">
        <v>45867</v>
      </c>
      <c r="L65" s="81">
        <f t="shared" si="0"/>
        <v>24</v>
      </c>
      <c r="M65" s="5">
        <f t="shared" si="2"/>
        <v>40198.559999999998</v>
      </c>
      <c r="N65" s="5">
        <f t="shared" si="1"/>
        <v>1674.9399999999998</v>
      </c>
      <c r="O65" s="15" t="s">
        <v>1414</v>
      </c>
      <c r="P65" s="5" t="s">
        <v>1415</v>
      </c>
      <c r="Q65" s="5" t="s">
        <v>2554</v>
      </c>
      <c r="R65" s="38"/>
    </row>
    <row r="66" spans="1:18">
      <c r="A66" s="5">
        <v>65</v>
      </c>
      <c r="B66" s="5" t="s">
        <v>1416</v>
      </c>
      <c r="C66" s="15" t="s">
        <v>1417</v>
      </c>
      <c r="D66" s="27" t="s">
        <v>1418</v>
      </c>
      <c r="E66" s="5">
        <v>34</v>
      </c>
      <c r="F66" s="5">
        <v>463</v>
      </c>
      <c r="G66" s="9" t="s">
        <v>2550</v>
      </c>
      <c r="H66" s="9">
        <v>2018</v>
      </c>
      <c r="I66" s="9">
        <v>0.83</v>
      </c>
      <c r="J66" s="82">
        <v>45127</v>
      </c>
      <c r="K66" s="82">
        <v>45867</v>
      </c>
      <c r="L66" s="81">
        <f t="shared" si="0"/>
        <v>24</v>
      </c>
      <c r="M66" s="5">
        <f t="shared" si="2"/>
        <v>40198.559999999998</v>
      </c>
      <c r="N66" s="5">
        <f t="shared" si="1"/>
        <v>1674.9399999999998</v>
      </c>
      <c r="O66" s="15" t="s">
        <v>1419</v>
      </c>
      <c r="P66" s="5" t="s">
        <v>1420</v>
      </c>
      <c r="Q66" s="5" t="s">
        <v>2555</v>
      </c>
      <c r="R66" s="38"/>
    </row>
    <row r="67" spans="1:18">
      <c r="A67" s="5">
        <v>66</v>
      </c>
      <c r="B67" s="5" t="s">
        <v>1421</v>
      </c>
      <c r="C67" s="15" t="s">
        <v>1422</v>
      </c>
      <c r="D67" s="27" t="s">
        <v>1423</v>
      </c>
      <c r="E67" s="5">
        <v>28</v>
      </c>
      <c r="F67" s="5">
        <v>464</v>
      </c>
      <c r="G67" s="9" t="s">
        <v>2550</v>
      </c>
      <c r="H67" s="9">
        <v>2018</v>
      </c>
      <c r="I67" s="9">
        <v>0.83</v>
      </c>
      <c r="J67" s="82">
        <v>45127</v>
      </c>
      <c r="K67" s="82">
        <v>45867</v>
      </c>
      <c r="L67" s="81">
        <f t="shared" ref="L67:L130" si="3">DATEDIF(J67,K67,"M")</f>
        <v>24</v>
      </c>
      <c r="M67" s="5">
        <f t="shared" ref="M67:M130" si="4">I67*H67*L67</f>
        <v>40198.559999999998</v>
      </c>
      <c r="N67" s="5">
        <f t="shared" ref="N67:N130" si="5">M67/24</f>
        <v>1674.9399999999998</v>
      </c>
      <c r="O67" s="28" t="s">
        <v>1424</v>
      </c>
      <c r="P67" s="5" t="s">
        <v>1425</v>
      </c>
      <c r="Q67" s="5" t="s">
        <v>2555</v>
      </c>
      <c r="R67" s="38"/>
    </row>
    <row r="68" spans="1:18" ht="28.8">
      <c r="A68" s="68">
        <v>67</v>
      </c>
      <c r="B68" s="57" t="s">
        <v>1426</v>
      </c>
      <c r="C68" s="58" t="s">
        <v>1427</v>
      </c>
      <c r="D68" s="59" t="s">
        <v>1428</v>
      </c>
      <c r="E68" s="57">
        <v>28</v>
      </c>
      <c r="F68" s="57">
        <v>465</v>
      </c>
      <c r="G68" s="68" t="s">
        <v>2550</v>
      </c>
      <c r="H68" s="9">
        <v>2018</v>
      </c>
      <c r="I68" s="9">
        <v>0.83</v>
      </c>
      <c r="J68" s="82">
        <v>45127</v>
      </c>
      <c r="K68" s="82">
        <v>45867</v>
      </c>
      <c r="L68" s="81">
        <f t="shared" si="3"/>
        <v>24</v>
      </c>
      <c r="M68" s="5">
        <f t="shared" si="4"/>
        <v>40198.559999999998</v>
      </c>
      <c r="N68" s="5">
        <f t="shared" si="5"/>
        <v>1674.9399999999998</v>
      </c>
      <c r="O68" s="63" t="s">
        <v>1429</v>
      </c>
      <c r="P68" s="57" t="s">
        <v>1430</v>
      </c>
      <c r="Q68" s="5" t="s">
        <v>2555</v>
      </c>
      <c r="R68" s="60"/>
    </row>
    <row r="69" spans="1:18">
      <c r="A69" s="5">
        <v>68</v>
      </c>
      <c r="B69" s="5" t="s">
        <v>1431</v>
      </c>
      <c r="C69" s="15" t="s">
        <v>1432</v>
      </c>
      <c r="D69" s="27" t="s">
        <v>1433</v>
      </c>
      <c r="E69" s="5">
        <v>28</v>
      </c>
      <c r="F69" s="5">
        <v>466</v>
      </c>
      <c r="G69" s="9" t="s">
        <v>2550</v>
      </c>
      <c r="H69" s="9">
        <v>2018</v>
      </c>
      <c r="I69" s="9">
        <v>0.83</v>
      </c>
      <c r="J69" s="82">
        <v>45127</v>
      </c>
      <c r="K69" s="82">
        <v>45867</v>
      </c>
      <c r="L69" s="81">
        <f t="shared" si="3"/>
        <v>24</v>
      </c>
      <c r="M69" s="5">
        <f t="shared" si="4"/>
        <v>40198.559999999998</v>
      </c>
      <c r="N69" s="5">
        <f t="shared" si="5"/>
        <v>1674.9399999999998</v>
      </c>
      <c r="O69" s="28" t="s">
        <v>1434</v>
      </c>
      <c r="P69" s="5" t="s">
        <v>1435</v>
      </c>
      <c r="Q69" s="5" t="s">
        <v>2555</v>
      </c>
      <c r="R69" s="38"/>
    </row>
    <row r="70" spans="1:18">
      <c r="A70" s="5">
        <v>69</v>
      </c>
      <c r="B70" s="5" t="s">
        <v>1436</v>
      </c>
      <c r="C70" s="15" t="s">
        <v>1437</v>
      </c>
      <c r="D70" s="27" t="s">
        <v>1438</v>
      </c>
      <c r="E70" s="5">
        <v>28</v>
      </c>
      <c r="F70" s="5">
        <v>467</v>
      </c>
      <c r="G70" s="9" t="s">
        <v>2550</v>
      </c>
      <c r="H70" s="9">
        <v>2018</v>
      </c>
      <c r="I70" s="9">
        <v>0.83</v>
      </c>
      <c r="J70" s="82">
        <v>45127</v>
      </c>
      <c r="K70" s="82">
        <v>45867</v>
      </c>
      <c r="L70" s="81">
        <f t="shared" si="3"/>
        <v>24</v>
      </c>
      <c r="M70" s="5">
        <f t="shared" si="4"/>
        <v>40198.559999999998</v>
      </c>
      <c r="N70" s="5">
        <f t="shared" si="5"/>
        <v>1674.9399999999998</v>
      </c>
      <c r="O70" s="28" t="s">
        <v>1439</v>
      </c>
      <c r="P70" s="5" t="s">
        <v>1440</v>
      </c>
      <c r="Q70" s="5" t="s">
        <v>2555</v>
      </c>
      <c r="R70" s="38"/>
    </row>
    <row r="71" spans="1:18">
      <c r="A71" s="9">
        <v>70</v>
      </c>
      <c r="B71" s="5" t="s">
        <v>1441</v>
      </c>
      <c r="C71" s="15" t="s">
        <v>1442</v>
      </c>
      <c r="D71" s="27" t="s">
        <v>1443</v>
      </c>
      <c r="E71" s="5">
        <v>28</v>
      </c>
      <c r="F71" s="5">
        <v>468</v>
      </c>
      <c r="G71" s="9" t="s">
        <v>2550</v>
      </c>
      <c r="H71" s="9">
        <v>2018</v>
      </c>
      <c r="I71" s="9">
        <v>0.83</v>
      </c>
      <c r="J71" s="82">
        <v>45127</v>
      </c>
      <c r="K71" s="82">
        <v>45867</v>
      </c>
      <c r="L71" s="81">
        <f t="shared" si="3"/>
        <v>24</v>
      </c>
      <c r="M71" s="5">
        <f t="shared" si="4"/>
        <v>40198.559999999998</v>
      </c>
      <c r="N71" s="5">
        <f t="shared" si="5"/>
        <v>1674.9399999999998</v>
      </c>
      <c r="O71" s="28" t="s">
        <v>1444</v>
      </c>
      <c r="P71" s="5" t="s">
        <v>1445</v>
      </c>
      <c r="Q71" s="5" t="s">
        <v>2555</v>
      </c>
      <c r="R71" s="38"/>
    </row>
    <row r="72" spans="1:18">
      <c r="A72" s="5">
        <v>71</v>
      </c>
      <c r="B72" s="5" t="s">
        <v>1446</v>
      </c>
      <c r="C72" s="15" t="s">
        <v>1447</v>
      </c>
      <c r="D72" s="27" t="s">
        <v>1448</v>
      </c>
      <c r="E72" s="5">
        <v>28</v>
      </c>
      <c r="F72" s="5">
        <v>469</v>
      </c>
      <c r="G72" s="9" t="s">
        <v>2550</v>
      </c>
      <c r="H72" s="9">
        <v>2018</v>
      </c>
      <c r="I72" s="9">
        <v>0.83</v>
      </c>
      <c r="J72" s="82">
        <v>45127</v>
      </c>
      <c r="K72" s="82">
        <v>45867</v>
      </c>
      <c r="L72" s="81">
        <f t="shared" si="3"/>
        <v>24</v>
      </c>
      <c r="M72" s="5">
        <f t="shared" si="4"/>
        <v>40198.559999999998</v>
      </c>
      <c r="N72" s="5">
        <f t="shared" si="5"/>
        <v>1674.9399999999998</v>
      </c>
      <c r="O72" s="28" t="s">
        <v>1449</v>
      </c>
      <c r="P72" s="5" t="s">
        <v>1450</v>
      </c>
      <c r="Q72" s="5" t="s">
        <v>2555</v>
      </c>
      <c r="R72" s="38"/>
    </row>
    <row r="73" spans="1:18" ht="28.8">
      <c r="A73" s="5">
        <v>72</v>
      </c>
      <c r="B73" s="5">
        <v>71306</v>
      </c>
      <c r="C73" s="30" t="s">
        <v>1451</v>
      </c>
      <c r="D73" s="27" t="s">
        <v>1452</v>
      </c>
      <c r="E73" s="5">
        <v>28</v>
      </c>
      <c r="F73" s="5">
        <v>470</v>
      </c>
      <c r="G73" s="9" t="s">
        <v>2550</v>
      </c>
      <c r="H73" s="9">
        <v>2018</v>
      </c>
      <c r="I73" s="9">
        <v>0.83</v>
      </c>
      <c r="J73" s="82">
        <v>45127</v>
      </c>
      <c r="K73" s="82">
        <v>45867</v>
      </c>
      <c r="L73" s="81">
        <f t="shared" si="3"/>
        <v>24</v>
      </c>
      <c r="M73" s="5">
        <f t="shared" si="4"/>
        <v>40198.559999999998</v>
      </c>
      <c r="N73" s="5">
        <f t="shared" si="5"/>
        <v>1674.9399999999998</v>
      </c>
      <c r="O73" s="15" t="s">
        <v>1453</v>
      </c>
      <c r="P73" s="5" t="s">
        <v>1454</v>
      </c>
      <c r="Q73" s="5" t="s">
        <v>2555</v>
      </c>
      <c r="R73" s="38"/>
    </row>
    <row r="74" spans="1:18" ht="28.8">
      <c r="A74" s="9">
        <v>73</v>
      </c>
      <c r="B74" s="5" t="s">
        <v>1455</v>
      </c>
      <c r="C74" s="15" t="s">
        <v>1456</v>
      </c>
      <c r="D74" s="27" t="s">
        <v>1457</v>
      </c>
      <c r="E74" s="5">
        <v>28</v>
      </c>
      <c r="F74" s="5">
        <v>471</v>
      </c>
      <c r="G74" s="9" t="s">
        <v>2550</v>
      </c>
      <c r="H74" s="9">
        <v>2018</v>
      </c>
      <c r="I74" s="9">
        <v>0.83</v>
      </c>
      <c r="J74" s="82">
        <v>45127</v>
      </c>
      <c r="K74" s="82">
        <v>45867</v>
      </c>
      <c r="L74" s="81">
        <f t="shared" si="3"/>
        <v>24</v>
      </c>
      <c r="M74" s="5">
        <f t="shared" si="4"/>
        <v>40198.559999999998</v>
      </c>
      <c r="N74" s="5">
        <f t="shared" si="5"/>
        <v>1674.9399999999998</v>
      </c>
      <c r="O74" s="15" t="s">
        <v>1458</v>
      </c>
      <c r="P74" s="5" t="s">
        <v>1459</v>
      </c>
      <c r="Q74" s="5" t="s">
        <v>2554</v>
      </c>
      <c r="R74" s="38"/>
    </row>
    <row r="75" spans="1:18" ht="28.8">
      <c r="A75" s="5">
        <v>74</v>
      </c>
      <c r="B75" s="5" t="s">
        <v>2358</v>
      </c>
      <c r="C75" s="15" t="s">
        <v>2341</v>
      </c>
      <c r="D75" s="27" t="s">
        <v>2343</v>
      </c>
      <c r="E75" s="5">
        <v>28</v>
      </c>
      <c r="F75" s="5">
        <v>472</v>
      </c>
      <c r="G75" s="9" t="s">
        <v>2550</v>
      </c>
      <c r="H75" s="9">
        <v>2018</v>
      </c>
      <c r="I75" s="9">
        <v>0.83</v>
      </c>
      <c r="J75" s="82">
        <v>45127</v>
      </c>
      <c r="K75" s="82">
        <v>45867</v>
      </c>
      <c r="L75" s="81">
        <f t="shared" si="3"/>
        <v>24</v>
      </c>
      <c r="M75" s="5">
        <f t="shared" si="4"/>
        <v>40198.559999999998</v>
      </c>
      <c r="N75" s="5">
        <f t="shared" si="5"/>
        <v>1674.9399999999998</v>
      </c>
      <c r="O75" s="28" t="s">
        <v>2344</v>
      </c>
      <c r="P75" s="5" t="s">
        <v>2345</v>
      </c>
      <c r="Q75" s="5" t="s">
        <v>2555</v>
      </c>
      <c r="R75" s="38"/>
    </row>
    <row r="76" spans="1:18" ht="28.8">
      <c r="A76" s="5">
        <v>75</v>
      </c>
      <c r="B76" s="5" t="s">
        <v>1463</v>
      </c>
      <c r="C76" s="15" t="s">
        <v>1338</v>
      </c>
      <c r="D76" s="27" t="s">
        <v>1464</v>
      </c>
      <c r="E76" s="5">
        <v>28</v>
      </c>
      <c r="F76" s="5">
        <v>473</v>
      </c>
      <c r="G76" s="9" t="s">
        <v>2550</v>
      </c>
      <c r="H76" s="9">
        <v>2018</v>
      </c>
      <c r="I76" s="9">
        <v>0.83</v>
      </c>
      <c r="J76" s="82">
        <v>45127</v>
      </c>
      <c r="K76" s="82">
        <v>45867</v>
      </c>
      <c r="L76" s="81">
        <f t="shared" si="3"/>
        <v>24</v>
      </c>
      <c r="M76" s="5">
        <f t="shared" si="4"/>
        <v>40198.559999999998</v>
      </c>
      <c r="N76" s="5">
        <f t="shared" si="5"/>
        <v>1674.9399999999998</v>
      </c>
      <c r="O76" s="15" t="s">
        <v>1465</v>
      </c>
      <c r="P76" s="5" t="s">
        <v>1466</v>
      </c>
      <c r="Q76" s="5" t="s">
        <v>2554</v>
      </c>
      <c r="R76" s="38"/>
    </row>
    <row r="77" spans="1:18">
      <c r="A77" s="9">
        <v>76</v>
      </c>
      <c r="B77" s="5" t="s">
        <v>1467</v>
      </c>
      <c r="C77" s="15" t="s">
        <v>1468</v>
      </c>
      <c r="D77" s="27" t="s">
        <v>1469</v>
      </c>
      <c r="E77" s="5">
        <v>28</v>
      </c>
      <c r="F77" s="5">
        <v>474</v>
      </c>
      <c r="G77" s="9" t="s">
        <v>2550</v>
      </c>
      <c r="H77" s="9">
        <v>2018</v>
      </c>
      <c r="I77" s="9">
        <v>0.83</v>
      </c>
      <c r="J77" s="82">
        <v>45127</v>
      </c>
      <c r="K77" s="82">
        <v>45867</v>
      </c>
      <c r="L77" s="81">
        <f t="shared" si="3"/>
        <v>24</v>
      </c>
      <c r="M77" s="5">
        <f t="shared" si="4"/>
        <v>40198.559999999998</v>
      </c>
      <c r="N77" s="5">
        <f t="shared" si="5"/>
        <v>1674.9399999999998</v>
      </c>
      <c r="O77" s="15" t="s">
        <v>1470</v>
      </c>
      <c r="P77" s="5" t="s">
        <v>1471</v>
      </c>
      <c r="Q77" s="5" t="s">
        <v>2555</v>
      </c>
      <c r="R77" s="38"/>
    </row>
    <row r="78" spans="1:18">
      <c r="A78" s="5">
        <v>77</v>
      </c>
      <c r="B78" s="5" t="s">
        <v>1472</v>
      </c>
      <c r="C78" s="15" t="s">
        <v>1473</v>
      </c>
      <c r="D78" s="27" t="s">
        <v>1474</v>
      </c>
      <c r="E78" s="5">
        <v>28</v>
      </c>
      <c r="F78" s="5">
        <v>475</v>
      </c>
      <c r="G78" s="9" t="s">
        <v>2550</v>
      </c>
      <c r="H78" s="9">
        <v>2018</v>
      </c>
      <c r="I78" s="9">
        <v>0.83</v>
      </c>
      <c r="J78" s="82">
        <v>45127</v>
      </c>
      <c r="K78" s="82">
        <v>45867</v>
      </c>
      <c r="L78" s="81">
        <f t="shared" si="3"/>
        <v>24</v>
      </c>
      <c r="M78" s="5">
        <f t="shared" si="4"/>
        <v>40198.559999999998</v>
      </c>
      <c r="N78" s="5">
        <f t="shared" si="5"/>
        <v>1674.9399999999998</v>
      </c>
      <c r="O78" s="15" t="s">
        <v>1475</v>
      </c>
      <c r="P78" s="5" t="s">
        <v>1476</v>
      </c>
      <c r="Q78" s="5" t="s">
        <v>2555</v>
      </c>
      <c r="R78" s="38"/>
    </row>
    <row r="79" spans="1:18" ht="28.8">
      <c r="A79" s="5">
        <v>78</v>
      </c>
      <c r="B79" s="5" t="s">
        <v>1477</v>
      </c>
      <c r="C79" s="15" t="s">
        <v>1478</v>
      </c>
      <c r="D79" s="27" t="s">
        <v>1479</v>
      </c>
      <c r="E79" s="5">
        <v>28</v>
      </c>
      <c r="F79" s="5">
        <v>476</v>
      </c>
      <c r="G79" s="9" t="s">
        <v>2550</v>
      </c>
      <c r="H79" s="9">
        <v>2018</v>
      </c>
      <c r="I79" s="9">
        <v>0.83</v>
      </c>
      <c r="J79" s="82">
        <v>45127</v>
      </c>
      <c r="K79" s="82">
        <v>45867</v>
      </c>
      <c r="L79" s="81">
        <f t="shared" si="3"/>
        <v>24</v>
      </c>
      <c r="M79" s="5">
        <f t="shared" si="4"/>
        <v>40198.559999999998</v>
      </c>
      <c r="N79" s="5">
        <f t="shared" si="5"/>
        <v>1674.9399999999998</v>
      </c>
      <c r="O79" s="15" t="s">
        <v>1480</v>
      </c>
      <c r="P79" s="5" t="s">
        <v>1481</v>
      </c>
      <c r="Q79" s="5" t="s">
        <v>2555</v>
      </c>
      <c r="R79" s="38"/>
    </row>
    <row r="80" spans="1:18">
      <c r="A80" s="9">
        <v>79</v>
      </c>
      <c r="B80" s="5" t="s">
        <v>1482</v>
      </c>
      <c r="C80" s="15" t="s">
        <v>1483</v>
      </c>
      <c r="D80" s="27" t="s">
        <v>1484</v>
      </c>
      <c r="E80" s="5">
        <v>28</v>
      </c>
      <c r="F80" s="5">
        <v>477</v>
      </c>
      <c r="G80" s="9" t="s">
        <v>2550</v>
      </c>
      <c r="H80" s="9">
        <v>2018</v>
      </c>
      <c r="I80" s="9">
        <v>0.83</v>
      </c>
      <c r="J80" s="82">
        <v>45127</v>
      </c>
      <c r="K80" s="82">
        <v>45867</v>
      </c>
      <c r="L80" s="81">
        <f t="shared" si="3"/>
        <v>24</v>
      </c>
      <c r="M80" s="5">
        <f t="shared" si="4"/>
        <v>40198.559999999998</v>
      </c>
      <c r="N80" s="5">
        <f t="shared" si="5"/>
        <v>1674.9399999999998</v>
      </c>
      <c r="O80" s="28" t="s">
        <v>1485</v>
      </c>
      <c r="P80" s="5" t="s">
        <v>1486</v>
      </c>
      <c r="Q80" s="5" t="s">
        <v>2554</v>
      </c>
      <c r="R80" s="38"/>
    </row>
    <row r="81" spans="1:18">
      <c r="A81" s="5">
        <v>80</v>
      </c>
      <c r="B81" s="5" t="s">
        <v>1487</v>
      </c>
      <c r="C81" s="15" t="s">
        <v>1488</v>
      </c>
      <c r="D81" s="27" t="s">
        <v>36</v>
      </c>
      <c r="E81" s="5">
        <v>28</v>
      </c>
      <c r="F81" s="5">
        <v>478</v>
      </c>
      <c r="G81" s="9" t="s">
        <v>2550</v>
      </c>
      <c r="H81" s="9">
        <v>2018</v>
      </c>
      <c r="I81" s="9">
        <v>0.83</v>
      </c>
      <c r="J81" s="82">
        <v>45127</v>
      </c>
      <c r="K81" s="82">
        <v>45867</v>
      </c>
      <c r="L81" s="81">
        <f t="shared" si="3"/>
        <v>24</v>
      </c>
      <c r="M81" s="5">
        <f t="shared" si="4"/>
        <v>40198.559999999998</v>
      </c>
      <c r="N81" s="5">
        <f t="shared" si="5"/>
        <v>1674.9399999999998</v>
      </c>
      <c r="O81" s="15" t="s">
        <v>1489</v>
      </c>
      <c r="P81" s="5" t="s">
        <v>1490</v>
      </c>
      <c r="Q81" s="5" t="s">
        <v>2555</v>
      </c>
      <c r="R81" s="38"/>
    </row>
    <row r="82" spans="1:18">
      <c r="A82" s="5">
        <v>81</v>
      </c>
      <c r="B82" s="5" t="s">
        <v>1491</v>
      </c>
      <c r="C82" s="15" t="s">
        <v>1152</v>
      </c>
      <c r="D82" s="27" t="s">
        <v>1153</v>
      </c>
      <c r="E82" s="5">
        <v>28</v>
      </c>
      <c r="F82" s="5">
        <v>479</v>
      </c>
      <c r="G82" s="9" t="s">
        <v>2550</v>
      </c>
      <c r="H82" s="9">
        <v>2018</v>
      </c>
      <c r="I82" s="9">
        <v>0.83</v>
      </c>
      <c r="J82" s="82">
        <v>45127</v>
      </c>
      <c r="K82" s="82">
        <v>45867</v>
      </c>
      <c r="L82" s="81">
        <f t="shared" si="3"/>
        <v>24</v>
      </c>
      <c r="M82" s="5">
        <f t="shared" si="4"/>
        <v>40198.559999999998</v>
      </c>
      <c r="N82" s="5">
        <f t="shared" si="5"/>
        <v>1674.9399999999998</v>
      </c>
      <c r="O82" s="28" t="s">
        <v>1492</v>
      </c>
      <c r="P82" s="5" t="s">
        <v>1493</v>
      </c>
      <c r="Q82" s="5" t="s">
        <v>2554</v>
      </c>
      <c r="R82" s="38"/>
    </row>
    <row r="83" spans="1:18">
      <c r="A83" s="9">
        <v>82</v>
      </c>
      <c r="B83" s="5">
        <v>71377</v>
      </c>
      <c r="C83" s="15" t="s">
        <v>1494</v>
      </c>
      <c r="D83" s="27" t="s">
        <v>1495</v>
      </c>
      <c r="E83" s="5">
        <v>28</v>
      </c>
      <c r="F83" s="5">
        <v>480</v>
      </c>
      <c r="G83" s="9" t="s">
        <v>2550</v>
      </c>
      <c r="H83" s="9">
        <v>2018</v>
      </c>
      <c r="I83" s="9">
        <v>0.83</v>
      </c>
      <c r="J83" s="82">
        <v>45127</v>
      </c>
      <c r="K83" s="82">
        <v>45867</v>
      </c>
      <c r="L83" s="81">
        <f t="shared" si="3"/>
        <v>24</v>
      </c>
      <c r="M83" s="5">
        <f t="shared" si="4"/>
        <v>40198.559999999998</v>
      </c>
      <c r="N83" s="5">
        <f t="shared" si="5"/>
        <v>1674.9399999999998</v>
      </c>
      <c r="O83" s="15" t="s">
        <v>1496</v>
      </c>
      <c r="P83" s="5" t="s">
        <v>1497</v>
      </c>
      <c r="Q83" s="5" t="s">
        <v>2554</v>
      </c>
      <c r="R83" s="38"/>
    </row>
    <row r="84" spans="1:18">
      <c r="A84" s="5">
        <v>83</v>
      </c>
      <c r="B84" s="5">
        <v>71359</v>
      </c>
      <c r="C84" s="15" t="s">
        <v>1498</v>
      </c>
      <c r="D84" s="27" t="s">
        <v>1499</v>
      </c>
      <c r="E84" s="5">
        <v>28</v>
      </c>
      <c r="F84" s="5">
        <v>481</v>
      </c>
      <c r="G84" s="9" t="s">
        <v>2550</v>
      </c>
      <c r="H84" s="9">
        <v>2018</v>
      </c>
      <c r="I84" s="9">
        <v>0.83</v>
      </c>
      <c r="J84" s="82">
        <v>45127</v>
      </c>
      <c r="K84" s="82">
        <v>45867</v>
      </c>
      <c r="L84" s="81">
        <f t="shared" si="3"/>
        <v>24</v>
      </c>
      <c r="M84" s="5">
        <f t="shared" si="4"/>
        <v>40198.559999999998</v>
      </c>
      <c r="N84" s="5">
        <f t="shared" si="5"/>
        <v>1674.9399999999998</v>
      </c>
      <c r="O84" s="15" t="s">
        <v>1500</v>
      </c>
      <c r="P84" s="5" t="s">
        <v>1501</v>
      </c>
      <c r="Q84" s="5" t="s">
        <v>2555</v>
      </c>
      <c r="R84" s="38"/>
    </row>
    <row r="85" spans="1:18" ht="28.8">
      <c r="A85" s="5">
        <v>84</v>
      </c>
      <c r="B85" s="5" t="s">
        <v>2470</v>
      </c>
      <c r="C85" s="15" t="s">
        <v>2469</v>
      </c>
      <c r="D85" s="27" t="s">
        <v>2471</v>
      </c>
      <c r="E85" s="5">
        <v>28</v>
      </c>
      <c r="F85" s="5">
        <v>482</v>
      </c>
      <c r="G85" s="9" t="s">
        <v>2550</v>
      </c>
      <c r="H85" s="9">
        <v>2018</v>
      </c>
      <c r="I85" s="9">
        <v>0.83</v>
      </c>
      <c r="J85" s="82">
        <v>45127</v>
      </c>
      <c r="K85" s="82">
        <v>45867</v>
      </c>
      <c r="L85" s="81">
        <f t="shared" si="3"/>
        <v>24</v>
      </c>
      <c r="M85" s="5">
        <f t="shared" si="4"/>
        <v>40198.559999999998</v>
      </c>
      <c r="N85" s="5">
        <f t="shared" si="5"/>
        <v>1674.9399999999998</v>
      </c>
      <c r="O85" s="42" t="s">
        <v>48</v>
      </c>
      <c r="P85" s="5" t="s">
        <v>2472</v>
      </c>
      <c r="Q85" s="5" t="s">
        <v>2554</v>
      </c>
      <c r="R85" s="38"/>
    </row>
    <row r="86" spans="1:18" ht="28.8">
      <c r="A86" s="9">
        <v>85</v>
      </c>
      <c r="B86" s="5" t="s">
        <v>2365</v>
      </c>
      <c r="C86" s="15" t="s">
        <v>2364</v>
      </c>
      <c r="D86" s="27" t="s">
        <v>2366</v>
      </c>
      <c r="E86" s="5">
        <v>28</v>
      </c>
      <c r="F86" s="5">
        <v>483</v>
      </c>
      <c r="G86" s="9" t="s">
        <v>2550</v>
      </c>
      <c r="H86" s="9">
        <v>2018</v>
      </c>
      <c r="I86" s="9">
        <v>0.83</v>
      </c>
      <c r="J86" s="82">
        <v>45127</v>
      </c>
      <c r="K86" s="82">
        <v>45867</v>
      </c>
      <c r="L86" s="81">
        <f t="shared" si="3"/>
        <v>24</v>
      </c>
      <c r="M86" s="5">
        <f t="shared" si="4"/>
        <v>40198.559999999998</v>
      </c>
      <c r="N86" s="5">
        <f t="shared" si="5"/>
        <v>1674.9399999999998</v>
      </c>
      <c r="O86" s="28" t="s">
        <v>2367</v>
      </c>
      <c r="P86" s="5" t="s">
        <v>2368</v>
      </c>
      <c r="Q86" s="5" t="s">
        <v>2554</v>
      </c>
      <c r="R86" s="38"/>
    </row>
    <row r="87" spans="1:18" ht="28.8">
      <c r="A87" s="5">
        <v>86</v>
      </c>
      <c r="B87" s="5" t="s">
        <v>1502</v>
      </c>
      <c r="C87" s="15" t="s">
        <v>1503</v>
      </c>
      <c r="D87" s="27" t="s">
        <v>1504</v>
      </c>
      <c r="E87" s="5">
        <v>28</v>
      </c>
      <c r="F87" s="5">
        <v>484</v>
      </c>
      <c r="G87" s="9" t="s">
        <v>2550</v>
      </c>
      <c r="H87" s="9">
        <v>2018</v>
      </c>
      <c r="I87" s="9">
        <v>0.83</v>
      </c>
      <c r="J87" s="82">
        <v>45127</v>
      </c>
      <c r="K87" s="82">
        <v>45867</v>
      </c>
      <c r="L87" s="81">
        <f t="shared" si="3"/>
        <v>24</v>
      </c>
      <c r="M87" s="5">
        <f t="shared" si="4"/>
        <v>40198.559999999998</v>
      </c>
      <c r="N87" s="5">
        <f t="shared" si="5"/>
        <v>1674.9399999999998</v>
      </c>
      <c r="O87" s="15" t="s">
        <v>2530</v>
      </c>
      <c r="P87" s="5" t="s">
        <v>2531</v>
      </c>
      <c r="Q87" s="5" t="s">
        <v>2554</v>
      </c>
      <c r="R87" s="38"/>
    </row>
    <row r="88" spans="1:18">
      <c r="A88" s="5">
        <v>87</v>
      </c>
      <c r="B88" s="5">
        <v>71272</v>
      </c>
      <c r="C88" s="15" t="s">
        <v>1505</v>
      </c>
      <c r="D88" s="27" t="s">
        <v>1506</v>
      </c>
      <c r="E88" s="5">
        <v>28</v>
      </c>
      <c r="F88" s="5">
        <v>485</v>
      </c>
      <c r="G88" s="9" t="s">
        <v>2550</v>
      </c>
      <c r="H88" s="9">
        <v>2018</v>
      </c>
      <c r="I88" s="9">
        <v>0.83</v>
      </c>
      <c r="J88" s="82">
        <v>45127</v>
      </c>
      <c r="K88" s="82">
        <v>45867</v>
      </c>
      <c r="L88" s="81">
        <f t="shared" si="3"/>
        <v>24</v>
      </c>
      <c r="M88" s="5">
        <f t="shared" si="4"/>
        <v>40198.559999999998</v>
      </c>
      <c r="N88" s="5">
        <f t="shared" si="5"/>
        <v>1674.9399999999998</v>
      </c>
      <c r="O88" s="15" t="s">
        <v>1507</v>
      </c>
      <c r="P88" s="5" t="s">
        <v>1508</v>
      </c>
      <c r="Q88" s="5" t="s">
        <v>2557</v>
      </c>
      <c r="R88" s="38"/>
    </row>
    <row r="89" spans="1:18">
      <c r="A89" s="9">
        <v>88</v>
      </c>
      <c r="B89" s="5" t="s">
        <v>1509</v>
      </c>
      <c r="C89" s="15" t="s">
        <v>340</v>
      </c>
      <c r="D89" s="27" t="s">
        <v>341</v>
      </c>
      <c r="E89" s="5">
        <v>28</v>
      </c>
      <c r="F89" s="5">
        <v>486</v>
      </c>
      <c r="G89" s="9" t="s">
        <v>2550</v>
      </c>
      <c r="H89" s="9">
        <v>2018</v>
      </c>
      <c r="I89" s="9">
        <v>0.83</v>
      </c>
      <c r="J89" s="82">
        <v>45127</v>
      </c>
      <c r="K89" s="82">
        <v>45867</v>
      </c>
      <c r="L89" s="81">
        <f t="shared" si="3"/>
        <v>24</v>
      </c>
      <c r="M89" s="5">
        <f t="shared" si="4"/>
        <v>40198.559999999998</v>
      </c>
      <c r="N89" s="5">
        <f t="shared" si="5"/>
        <v>1674.9399999999998</v>
      </c>
      <c r="O89" s="15" t="s">
        <v>1510</v>
      </c>
      <c r="P89" s="5" t="s">
        <v>255</v>
      </c>
      <c r="Q89" s="5" t="s">
        <v>2557</v>
      </c>
      <c r="R89" s="38"/>
    </row>
    <row r="90" spans="1:18">
      <c r="A90" s="5">
        <v>89</v>
      </c>
      <c r="B90" s="5" t="s">
        <v>1511</v>
      </c>
      <c r="C90" s="15" t="s">
        <v>1512</v>
      </c>
      <c r="D90" s="27" t="s">
        <v>1513</v>
      </c>
      <c r="E90" s="5">
        <v>28</v>
      </c>
      <c r="F90" s="5">
        <v>487</v>
      </c>
      <c r="G90" s="9" t="s">
        <v>2550</v>
      </c>
      <c r="H90" s="9">
        <v>2018</v>
      </c>
      <c r="I90" s="9">
        <v>0.83</v>
      </c>
      <c r="J90" s="82">
        <v>45127</v>
      </c>
      <c r="K90" s="82">
        <v>45867</v>
      </c>
      <c r="L90" s="81">
        <f t="shared" si="3"/>
        <v>24</v>
      </c>
      <c r="M90" s="5">
        <f t="shared" si="4"/>
        <v>40198.559999999998</v>
      </c>
      <c r="N90" s="5">
        <f t="shared" si="5"/>
        <v>1674.9399999999998</v>
      </c>
      <c r="O90" s="28" t="s">
        <v>1514</v>
      </c>
      <c r="P90" s="5" t="s">
        <v>1515</v>
      </c>
      <c r="Q90" s="5" t="s">
        <v>2557</v>
      </c>
      <c r="R90" s="39"/>
    </row>
    <row r="91" spans="1:18">
      <c r="A91" s="5">
        <v>90</v>
      </c>
      <c r="B91" s="5" t="s">
        <v>1516</v>
      </c>
      <c r="C91" s="15" t="s">
        <v>1348</v>
      </c>
      <c r="D91" s="27" t="s">
        <v>1349</v>
      </c>
      <c r="E91" s="5">
        <v>28</v>
      </c>
      <c r="F91" s="5">
        <v>488</v>
      </c>
      <c r="G91" s="9" t="s">
        <v>2550</v>
      </c>
      <c r="H91" s="9">
        <v>2018</v>
      </c>
      <c r="I91" s="9">
        <v>0.83</v>
      </c>
      <c r="J91" s="82">
        <v>45127</v>
      </c>
      <c r="K91" s="82">
        <v>45867</v>
      </c>
      <c r="L91" s="81">
        <f t="shared" si="3"/>
        <v>24</v>
      </c>
      <c r="M91" s="5">
        <f t="shared" si="4"/>
        <v>40198.559999999998</v>
      </c>
      <c r="N91" s="5">
        <f t="shared" si="5"/>
        <v>1674.9399999999998</v>
      </c>
      <c r="O91" s="15" t="s">
        <v>1517</v>
      </c>
      <c r="P91" s="5" t="s">
        <v>1518</v>
      </c>
      <c r="Q91" s="5" t="s">
        <v>2555</v>
      </c>
      <c r="R91" s="38"/>
    </row>
    <row r="92" spans="1:18">
      <c r="A92" s="9">
        <v>91</v>
      </c>
      <c r="B92" s="5">
        <v>71281</v>
      </c>
      <c r="C92" s="15" t="s">
        <v>1519</v>
      </c>
      <c r="D92" s="27" t="s">
        <v>1520</v>
      </c>
      <c r="E92" s="5">
        <v>28</v>
      </c>
      <c r="F92" s="5">
        <v>489</v>
      </c>
      <c r="G92" s="9" t="s">
        <v>2550</v>
      </c>
      <c r="H92" s="9">
        <v>2018</v>
      </c>
      <c r="I92" s="9">
        <v>0.83</v>
      </c>
      <c r="J92" s="82">
        <v>45127</v>
      </c>
      <c r="K92" s="82">
        <v>45867</v>
      </c>
      <c r="L92" s="81">
        <f t="shared" si="3"/>
        <v>24</v>
      </c>
      <c r="M92" s="5">
        <f t="shared" si="4"/>
        <v>40198.559999999998</v>
      </c>
      <c r="N92" s="5">
        <f t="shared" si="5"/>
        <v>1674.9399999999998</v>
      </c>
      <c r="O92" s="15" t="s">
        <v>1521</v>
      </c>
      <c r="P92" s="5" t="s">
        <v>1522</v>
      </c>
      <c r="Q92" s="24" t="s">
        <v>2555</v>
      </c>
      <c r="R92" s="38"/>
    </row>
    <row r="93" spans="1:18">
      <c r="A93" s="5">
        <v>92</v>
      </c>
      <c r="B93" s="5" t="s">
        <v>1523</v>
      </c>
      <c r="C93" s="15" t="s">
        <v>1524</v>
      </c>
      <c r="D93" s="27" t="s">
        <v>1525</v>
      </c>
      <c r="E93" s="5">
        <v>28</v>
      </c>
      <c r="F93" s="5">
        <v>490</v>
      </c>
      <c r="G93" s="9" t="s">
        <v>2550</v>
      </c>
      <c r="H93" s="9">
        <v>2018</v>
      </c>
      <c r="I93" s="9">
        <v>0.83</v>
      </c>
      <c r="J93" s="82">
        <v>45127</v>
      </c>
      <c r="K93" s="82">
        <v>45867</v>
      </c>
      <c r="L93" s="81">
        <f t="shared" si="3"/>
        <v>24</v>
      </c>
      <c r="M93" s="5">
        <f t="shared" si="4"/>
        <v>40198.559999999998</v>
      </c>
      <c r="N93" s="5">
        <f t="shared" si="5"/>
        <v>1674.9399999999998</v>
      </c>
      <c r="O93" s="15" t="s">
        <v>1526</v>
      </c>
      <c r="P93" s="5" t="s">
        <v>1527</v>
      </c>
      <c r="Q93" s="5" t="s">
        <v>2555</v>
      </c>
      <c r="R93" s="38"/>
    </row>
    <row r="94" spans="1:18">
      <c r="A94" s="5">
        <v>93</v>
      </c>
      <c r="B94" s="5" t="s">
        <v>1528</v>
      </c>
      <c r="C94" s="15" t="s">
        <v>1529</v>
      </c>
      <c r="D94" s="27" t="s">
        <v>1530</v>
      </c>
      <c r="E94" s="5">
        <v>28</v>
      </c>
      <c r="F94" s="5">
        <v>491</v>
      </c>
      <c r="G94" s="9" t="s">
        <v>2550</v>
      </c>
      <c r="H94" s="9">
        <v>2018</v>
      </c>
      <c r="I94" s="9">
        <v>0.83</v>
      </c>
      <c r="J94" s="82">
        <v>45127</v>
      </c>
      <c r="K94" s="82">
        <v>45867</v>
      </c>
      <c r="L94" s="81">
        <f t="shared" si="3"/>
        <v>24</v>
      </c>
      <c r="M94" s="5">
        <f t="shared" si="4"/>
        <v>40198.559999999998</v>
      </c>
      <c r="N94" s="5">
        <f t="shared" si="5"/>
        <v>1674.9399999999998</v>
      </c>
      <c r="O94" s="15" t="s">
        <v>1531</v>
      </c>
      <c r="P94" s="5" t="s">
        <v>1532</v>
      </c>
      <c r="Q94" s="5" t="s">
        <v>2554</v>
      </c>
      <c r="R94" s="38"/>
    </row>
    <row r="95" spans="1:18">
      <c r="A95" s="9">
        <v>94</v>
      </c>
      <c r="B95" s="5" t="s">
        <v>1533</v>
      </c>
      <c r="C95" s="15" t="s">
        <v>1534</v>
      </c>
      <c r="D95" s="27" t="s">
        <v>1535</v>
      </c>
      <c r="E95" s="5">
        <v>28</v>
      </c>
      <c r="F95" s="5">
        <v>492</v>
      </c>
      <c r="G95" s="9" t="s">
        <v>2550</v>
      </c>
      <c r="H95" s="9">
        <v>2018</v>
      </c>
      <c r="I95" s="9">
        <v>0.83</v>
      </c>
      <c r="J95" s="82">
        <v>45127</v>
      </c>
      <c r="K95" s="82">
        <v>45867</v>
      </c>
      <c r="L95" s="81">
        <f t="shared" si="3"/>
        <v>24</v>
      </c>
      <c r="M95" s="5">
        <f t="shared" si="4"/>
        <v>40198.559999999998</v>
      </c>
      <c r="N95" s="5">
        <f t="shared" si="5"/>
        <v>1674.9399999999998</v>
      </c>
      <c r="O95" s="15" t="s">
        <v>1536</v>
      </c>
      <c r="P95" s="5" t="s">
        <v>1537</v>
      </c>
      <c r="Q95" s="5" t="s">
        <v>2555</v>
      </c>
      <c r="R95" s="38"/>
    </row>
    <row r="96" spans="1:18" ht="28.8">
      <c r="A96" s="5">
        <v>95</v>
      </c>
      <c r="B96" s="5" t="s">
        <v>1538</v>
      </c>
      <c r="C96" s="15" t="s">
        <v>1539</v>
      </c>
      <c r="D96" s="27" t="s">
        <v>1540</v>
      </c>
      <c r="E96" s="5">
        <v>28</v>
      </c>
      <c r="F96" s="5">
        <v>493</v>
      </c>
      <c r="G96" s="9" t="s">
        <v>2550</v>
      </c>
      <c r="H96" s="9">
        <v>2018</v>
      </c>
      <c r="I96" s="9">
        <v>0.83</v>
      </c>
      <c r="J96" s="82">
        <v>45127</v>
      </c>
      <c r="K96" s="82">
        <v>45867</v>
      </c>
      <c r="L96" s="81">
        <f t="shared" si="3"/>
        <v>24</v>
      </c>
      <c r="M96" s="5">
        <f t="shared" si="4"/>
        <v>40198.559999999998</v>
      </c>
      <c r="N96" s="5">
        <f t="shared" si="5"/>
        <v>1674.9399999999998</v>
      </c>
      <c r="O96" s="28" t="s">
        <v>1541</v>
      </c>
      <c r="P96" s="5" t="s">
        <v>1542</v>
      </c>
      <c r="Q96" s="5" t="s">
        <v>2555</v>
      </c>
      <c r="R96" s="38"/>
    </row>
    <row r="97" spans="1:18" ht="28.8">
      <c r="A97" s="5">
        <v>96</v>
      </c>
      <c r="B97" s="5">
        <v>71249</v>
      </c>
      <c r="C97" s="15" t="s">
        <v>1543</v>
      </c>
      <c r="D97" s="27" t="s">
        <v>1544</v>
      </c>
      <c r="E97" s="5">
        <v>28</v>
      </c>
      <c r="F97" s="5">
        <v>494</v>
      </c>
      <c r="G97" s="9" t="s">
        <v>2550</v>
      </c>
      <c r="H97" s="9">
        <v>2018</v>
      </c>
      <c r="I97" s="9">
        <v>0.83</v>
      </c>
      <c r="J97" s="82">
        <v>45127</v>
      </c>
      <c r="K97" s="82">
        <v>45867</v>
      </c>
      <c r="L97" s="81">
        <f t="shared" si="3"/>
        <v>24</v>
      </c>
      <c r="M97" s="5">
        <f t="shared" si="4"/>
        <v>40198.559999999998</v>
      </c>
      <c r="N97" s="5">
        <f t="shared" si="5"/>
        <v>1674.9399999999998</v>
      </c>
      <c r="O97" s="15" t="s">
        <v>1545</v>
      </c>
      <c r="P97" s="5" t="s">
        <v>1546</v>
      </c>
      <c r="Q97" s="5" t="s">
        <v>2555</v>
      </c>
      <c r="R97" s="38"/>
    </row>
    <row r="98" spans="1:18" ht="28.8">
      <c r="A98" s="9">
        <v>97</v>
      </c>
      <c r="B98" s="5" t="s">
        <v>2377</v>
      </c>
      <c r="C98" s="15" t="s">
        <v>1194</v>
      </c>
      <c r="D98" s="27" t="s">
        <v>1195</v>
      </c>
      <c r="E98" s="5">
        <v>28</v>
      </c>
      <c r="F98" s="5">
        <v>495</v>
      </c>
      <c r="G98" s="9" t="s">
        <v>2550</v>
      </c>
      <c r="H98" s="9">
        <v>2018</v>
      </c>
      <c r="I98" s="9">
        <v>0.83</v>
      </c>
      <c r="J98" s="82">
        <v>45127</v>
      </c>
      <c r="K98" s="82">
        <v>45867</v>
      </c>
      <c r="L98" s="81">
        <f t="shared" si="3"/>
        <v>24</v>
      </c>
      <c r="M98" s="5">
        <f t="shared" si="4"/>
        <v>40198.559999999998</v>
      </c>
      <c r="N98" s="5">
        <f t="shared" si="5"/>
        <v>1674.9399999999998</v>
      </c>
      <c r="O98" s="15" t="s">
        <v>1547</v>
      </c>
      <c r="P98" s="5" t="s">
        <v>1197</v>
      </c>
      <c r="Q98" s="5" t="s">
        <v>2555</v>
      </c>
      <c r="R98" s="38"/>
    </row>
    <row r="99" spans="1:18" ht="28.8">
      <c r="A99" s="5">
        <v>98</v>
      </c>
      <c r="B99" s="5">
        <v>71049</v>
      </c>
      <c r="C99" s="15" t="s">
        <v>1549</v>
      </c>
      <c r="D99" s="27" t="s">
        <v>1550</v>
      </c>
      <c r="E99" s="5">
        <v>28</v>
      </c>
      <c r="F99" s="5">
        <v>496</v>
      </c>
      <c r="G99" s="9" t="s">
        <v>2550</v>
      </c>
      <c r="H99" s="9">
        <v>2018</v>
      </c>
      <c r="I99" s="9">
        <v>0.83</v>
      </c>
      <c r="J99" s="82">
        <v>45127</v>
      </c>
      <c r="K99" s="82">
        <v>45867</v>
      </c>
      <c r="L99" s="81">
        <f t="shared" si="3"/>
        <v>24</v>
      </c>
      <c r="M99" s="5">
        <f t="shared" si="4"/>
        <v>40198.559999999998</v>
      </c>
      <c r="N99" s="5">
        <f t="shared" si="5"/>
        <v>1674.9399999999998</v>
      </c>
      <c r="O99" s="15" t="s">
        <v>1551</v>
      </c>
      <c r="P99" s="5"/>
      <c r="Q99" s="5" t="s">
        <v>2555</v>
      </c>
      <c r="R99" s="38"/>
    </row>
    <row r="100" spans="1:18">
      <c r="A100" s="5">
        <v>99</v>
      </c>
      <c r="B100" s="5" t="s">
        <v>1552</v>
      </c>
      <c r="C100" s="15" t="s">
        <v>1553</v>
      </c>
      <c r="D100" s="27" t="s">
        <v>1554</v>
      </c>
      <c r="E100" s="5">
        <v>28</v>
      </c>
      <c r="F100" s="5">
        <v>497</v>
      </c>
      <c r="G100" s="9" t="s">
        <v>2550</v>
      </c>
      <c r="H100" s="9">
        <v>2018</v>
      </c>
      <c r="I100" s="9">
        <v>0.83</v>
      </c>
      <c r="J100" s="82">
        <v>45127</v>
      </c>
      <c r="K100" s="82">
        <v>45867</v>
      </c>
      <c r="L100" s="81">
        <f t="shared" si="3"/>
        <v>24</v>
      </c>
      <c r="M100" s="5">
        <f t="shared" si="4"/>
        <v>40198.559999999998</v>
      </c>
      <c r="N100" s="5">
        <f t="shared" si="5"/>
        <v>1674.9399999999998</v>
      </c>
      <c r="O100" s="28" t="s">
        <v>1555</v>
      </c>
      <c r="P100" s="5" t="s">
        <v>1556</v>
      </c>
      <c r="Q100" s="5" t="s">
        <v>2557</v>
      </c>
      <c r="R100" s="38"/>
    </row>
    <row r="101" spans="1:18" ht="28.8">
      <c r="A101" s="9">
        <v>100</v>
      </c>
      <c r="B101" s="5">
        <v>71257</v>
      </c>
      <c r="C101" s="15" t="s">
        <v>1557</v>
      </c>
      <c r="D101" s="27" t="s">
        <v>1558</v>
      </c>
      <c r="E101" s="5">
        <v>28</v>
      </c>
      <c r="F101" s="5">
        <v>498</v>
      </c>
      <c r="G101" s="9" t="s">
        <v>2550</v>
      </c>
      <c r="H101" s="9">
        <v>2018</v>
      </c>
      <c r="I101" s="9">
        <v>0.83</v>
      </c>
      <c r="J101" s="82">
        <v>45127</v>
      </c>
      <c r="K101" s="82">
        <v>45867</v>
      </c>
      <c r="L101" s="81">
        <f t="shared" si="3"/>
        <v>24</v>
      </c>
      <c r="M101" s="5">
        <f t="shared" si="4"/>
        <v>40198.559999999998</v>
      </c>
      <c r="N101" s="5">
        <f t="shared" si="5"/>
        <v>1674.9399999999998</v>
      </c>
      <c r="O101" s="15" t="s">
        <v>1559</v>
      </c>
      <c r="P101" s="5" t="s">
        <v>1560</v>
      </c>
      <c r="Q101" s="5" t="s">
        <v>2557</v>
      </c>
      <c r="R101" s="38"/>
    </row>
    <row r="102" spans="1:18">
      <c r="A102" s="5">
        <v>101</v>
      </c>
      <c r="B102" s="5" t="s">
        <v>1561</v>
      </c>
      <c r="C102" s="15" t="s">
        <v>1562</v>
      </c>
      <c r="D102" s="27" t="s">
        <v>1563</v>
      </c>
      <c r="E102" s="5">
        <v>28</v>
      </c>
      <c r="F102" s="5">
        <v>499</v>
      </c>
      <c r="G102" s="9" t="s">
        <v>2550</v>
      </c>
      <c r="H102" s="9">
        <v>2018</v>
      </c>
      <c r="I102" s="9">
        <v>0.83</v>
      </c>
      <c r="J102" s="82">
        <v>45127</v>
      </c>
      <c r="K102" s="82">
        <v>45867</v>
      </c>
      <c r="L102" s="81">
        <f t="shared" si="3"/>
        <v>24</v>
      </c>
      <c r="M102" s="5">
        <f t="shared" si="4"/>
        <v>40198.559999999998</v>
      </c>
      <c r="N102" s="5">
        <f t="shared" si="5"/>
        <v>1674.9399999999998</v>
      </c>
      <c r="O102" s="28" t="s">
        <v>1564</v>
      </c>
      <c r="P102" s="5" t="s">
        <v>1565</v>
      </c>
      <c r="Q102" s="5" t="s">
        <v>2555</v>
      </c>
      <c r="R102" s="38"/>
    </row>
    <row r="103" spans="1:18">
      <c r="A103" s="5">
        <v>102</v>
      </c>
      <c r="B103" s="5" t="s">
        <v>2360</v>
      </c>
      <c r="C103" s="15" t="s">
        <v>2359</v>
      </c>
      <c r="D103" s="27" t="s">
        <v>2361</v>
      </c>
      <c r="E103" s="5">
        <v>28</v>
      </c>
      <c r="F103" s="5">
        <v>500</v>
      </c>
      <c r="G103" s="9" t="s">
        <v>2550</v>
      </c>
      <c r="H103" s="9">
        <v>2018</v>
      </c>
      <c r="I103" s="9">
        <v>0.83</v>
      </c>
      <c r="J103" s="82">
        <v>45127</v>
      </c>
      <c r="K103" s="82">
        <v>45867</v>
      </c>
      <c r="L103" s="81">
        <f t="shared" si="3"/>
        <v>24</v>
      </c>
      <c r="M103" s="5">
        <f t="shared" si="4"/>
        <v>40198.559999999998</v>
      </c>
      <c r="N103" s="5">
        <f t="shared" si="5"/>
        <v>1674.9399999999998</v>
      </c>
      <c r="O103" s="15" t="s">
        <v>2362</v>
      </c>
      <c r="P103" s="5" t="s">
        <v>2363</v>
      </c>
      <c r="Q103" s="5" t="s">
        <v>2555</v>
      </c>
      <c r="R103" s="38"/>
    </row>
    <row r="104" spans="1:18">
      <c r="A104" s="9">
        <v>103</v>
      </c>
      <c r="B104" s="5">
        <v>71327</v>
      </c>
      <c r="C104" s="15" t="s">
        <v>1566</v>
      </c>
      <c r="D104" s="27" t="s">
        <v>1567</v>
      </c>
      <c r="E104" s="5">
        <v>13</v>
      </c>
      <c r="F104" s="5">
        <v>501</v>
      </c>
      <c r="G104" s="9" t="s">
        <v>2550</v>
      </c>
      <c r="H104" s="9">
        <v>2018</v>
      </c>
      <c r="I104" s="9">
        <v>0.83</v>
      </c>
      <c r="J104" s="82">
        <v>45127</v>
      </c>
      <c r="K104" s="82">
        <v>45867</v>
      </c>
      <c r="L104" s="81">
        <f t="shared" si="3"/>
        <v>24</v>
      </c>
      <c r="M104" s="5">
        <f t="shared" si="4"/>
        <v>40198.559999999998</v>
      </c>
      <c r="N104" s="5">
        <f t="shared" si="5"/>
        <v>1674.9399999999998</v>
      </c>
      <c r="O104" s="15" t="s">
        <v>1568</v>
      </c>
      <c r="P104" s="5" t="s">
        <v>1569</v>
      </c>
      <c r="Q104" s="5" t="s">
        <v>2555</v>
      </c>
      <c r="R104" s="38"/>
    </row>
    <row r="105" spans="1:18">
      <c r="A105" s="5">
        <v>104</v>
      </c>
      <c r="B105" s="5" t="s">
        <v>1570</v>
      </c>
      <c r="C105" s="15" t="s">
        <v>1571</v>
      </c>
      <c r="D105" s="27" t="s">
        <v>1572</v>
      </c>
      <c r="E105" s="5">
        <v>13</v>
      </c>
      <c r="F105" s="5">
        <v>502</v>
      </c>
      <c r="G105" s="9" t="s">
        <v>2550</v>
      </c>
      <c r="H105" s="9">
        <v>2018</v>
      </c>
      <c r="I105" s="9">
        <v>0.83</v>
      </c>
      <c r="J105" s="82">
        <v>45127</v>
      </c>
      <c r="K105" s="82">
        <v>45867</v>
      </c>
      <c r="L105" s="81">
        <f t="shared" si="3"/>
        <v>24</v>
      </c>
      <c r="M105" s="5">
        <f t="shared" si="4"/>
        <v>40198.559999999998</v>
      </c>
      <c r="N105" s="5">
        <f t="shared" si="5"/>
        <v>1674.9399999999998</v>
      </c>
      <c r="O105" s="15" t="s">
        <v>1573</v>
      </c>
      <c r="P105" s="5" t="s">
        <v>1574</v>
      </c>
      <c r="Q105" s="5" t="s">
        <v>2557</v>
      </c>
      <c r="R105" s="38"/>
    </row>
    <row r="106" spans="1:18">
      <c r="A106" s="5">
        <v>105</v>
      </c>
      <c r="B106" s="5" t="s">
        <v>1575</v>
      </c>
      <c r="C106" s="15" t="s">
        <v>1576</v>
      </c>
      <c r="D106" s="27" t="s">
        <v>1577</v>
      </c>
      <c r="E106" s="5">
        <v>13</v>
      </c>
      <c r="F106" s="5">
        <v>503</v>
      </c>
      <c r="G106" s="9" t="s">
        <v>2550</v>
      </c>
      <c r="H106" s="9">
        <v>2018</v>
      </c>
      <c r="I106" s="9">
        <v>0.83</v>
      </c>
      <c r="J106" s="82">
        <v>45127</v>
      </c>
      <c r="K106" s="82">
        <v>45867</v>
      </c>
      <c r="L106" s="81">
        <f t="shared" si="3"/>
        <v>24</v>
      </c>
      <c r="M106" s="5">
        <f t="shared" si="4"/>
        <v>40198.559999999998</v>
      </c>
      <c r="N106" s="5">
        <f t="shared" si="5"/>
        <v>1674.9399999999998</v>
      </c>
      <c r="O106" s="28" t="s">
        <v>1578</v>
      </c>
      <c r="P106" s="5" t="s">
        <v>1579</v>
      </c>
      <c r="Q106" s="5" t="s">
        <v>2555</v>
      </c>
      <c r="R106" s="38"/>
    </row>
    <row r="107" spans="1:18">
      <c r="A107" s="9">
        <v>106</v>
      </c>
      <c r="B107" s="5" t="s">
        <v>1580</v>
      </c>
      <c r="C107" s="15" t="s">
        <v>1581</v>
      </c>
      <c r="D107" s="27" t="s">
        <v>1582</v>
      </c>
      <c r="E107" s="5">
        <v>13</v>
      </c>
      <c r="F107" s="5">
        <v>504</v>
      </c>
      <c r="G107" s="9" t="s">
        <v>2550</v>
      </c>
      <c r="H107" s="9">
        <v>2018</v>
      </c>
      <c r="I107" s="9">
        <v>0.83</v>
      </c>
      <c r="J107" s="82">
        <v>45127</v>
      </c>
      <c r="K107" s="82">
        <v>45867</v>
      </c>
      <c r="L107" s="81">
        <f t="shared" si="3"/>
        <v>24</v>
      </c>
      <c r="M107" s="5">
        <f t="shared" si="4"/>
        <v>40198.559999999998</v>
      </c>
      <c r="N107" s="5">
        <f t="shared" si="5"/>
        <v>1674.9399999999998</v>
      </c>
      <c r="O107" s="15" t="s">
        <v>1583</v>
      </c>
      <c r="P107" s="5" t="s">
        <v>1584</v>
      </c>
      <c r="Q107" s="5" t="s">
        <v>2555</v>
      </c>
      <c r="R107" s="38"/>
    </row>
    <row r="108" spans="1:18">
      <c r="A108" s="5">
        <v>107</v>
      </c>
      <c r="B108" s="5" t="s">
        <v>1585</v>
      </c>
      <c r="C108" s="15" t="s">
        <v>1586</v>
      </c>
      <c r="D108" s="27" t="s">
        <v>1587</v>
      </c>
      <c r="E108" s="5">
        <v>13</v>
      </c>
      <c r="F108" s="5">
        <v>505</v>
      </c>
      <c r="G108" s="9" t="s">
        <v>2550</v>
      </c>
      <c r="H108" s="9">
        <v>2018</v>
      </c>
      <c r="I108" s="9">
        <v>0.83</v>
      </c>
      <c r="J108" s="82">
        <v>45127</v>
      </c>
      <c r="K108" s="82">
        <v>45867</v>
      </c>
      <c r="L108" s="81">
        <f t="shared" si="3"/>
        <v>24</v>
      </c>
      <c r="M108" s="5">
        <f t="shared" si="4"/>
        <v>40198.559999999998</v>
      </c>
      <c r="N108" s="5">
        <f t="shared" si="5"/>
        <v>1674.9399999999998</v>
      </c>
      <c r="O108" s="15" t="s">
        <v>1588</v>
      </c>
      <c r="P108" s="5" t="s">
        <v>1589</v>
      </c>
      <c r="Q108" s="5" t="s">
        <v>2555</v>
      </c>
      <c r="R108" s="38"/>
    </row>
    <row r="109" spans="1:18">
      <c r="A109" s="5">
        <v>108</v>
      </c>
      <c r="B109" s="5" t="s">
        <v>1590</v>
      </c>
      <c r="C109" s="15" t="s">
        <v>1412</v>
      </c>
      <c r="D109" s="27" t="s">
        <v>1591</v>
      </c>
      <c r="E109" s="5">
        <v>13</v>
      </c>
      <c r="F109" s="5">
        <v>506</v>
      </c>
      <c r="G109" s="9" t="s">
        <v>2550</v>
      </c>
      <c r="H109" s="9">
        <v>2018</v>
      </c>
      <c r="I109" s="9">
        <v>0.83</v>
      </c>
      <c r="J109" s="82">
        <v>45127</v>
      </c>
      <c r="K109" s="82">
        <v>45867</v>
      </c>
      <c r="L109" s="81">
        <f t="shared" si="3"/>
        <v>24</v>
      </c>
      <c r="M109" s="5">
        <f t="shared" si="4"/>
        <v>40198.559999999998</v>
      </c>
      <c r="N109" s="5">
        <f t="shared" si="5"/>
        <v>1674.9399999999998</v>
      </c>
      <c r="O109" s="28" t="s">
        <v>1592</v>
      </c>
      <c r="P109" s="5" t="s">
        <v>1593</v>
      </c>
      <c r="Q109" s="5" t="s">
        <v>2557</v>
      </c>
      <c r="R109" s="38"/>
    </row>
    <row r="110" spans="1:18">
      <c r="A110" s="9">
        <v>109</v>
      </c>
      <c r="B110" s="5" t="s">
        <v>1594</v>
      </c>
      <c r="C110" s="15" t="s">
        <v>1595</v>
      </c>
      <c r="D110" s="27" t="s">
        <v>1596</v>
      </c>
      <c r="E110" s="5">
        <v>13</v>
      </c>
      <c r="F110" s="5">
        <v>507</v>
      </c>
      <c r="G110" s="9" t="s">
        <v>2550</v>
      </c>
      <c r="H110" s="9">
        <v>2018</v>
      </c>
      <c r="I110" s="9">
        <v>0.83</v>
      </c>
      <c r="J110" s="82">
        <v>45127</v>
      </c>
      <c r="K110" s="82">
        <v>45867</v>
      </c>
      <c r="L110" s="81">
        <f t="shared" si="3"/>
        <v>24</v>
      </c>
      <c r="M110" s="5">
        <f t="shared" si="4"/>
        <v>40198.559999999998</v>
      </c>
      <c r="N110" s="5">
        <f t="shared" si="5"/>
        <v>1674.9399999999998</v>
      </c>
      <c r="O110" s="28" t="s">
        <v>1597</v>
      </c>
      <c r="P110" s="5" t="s">
        <v>1598</v>
      </c>
      <c r="Q110" s="5" t="s">
        <v>2555</v>
      </c>
      <c r="R110" s="38"/>
    </row>
    <row r="111" spans="1:18">
      <c r="A111" s="5">
        <v>110</v>
      </c>
      <c r="B111" s="5" t="s">
        <v>2414</v>
      </c>
      <c r="C111" s="15" t="s">
        <v>2413</v>
      </c>
      <c r="D111" s="27" t="s">
        <v>2415</v>
      </c>
      <c r="E111" s="5">
        <v>13</v>
      </c>
      <c r="F111" s="5">
        <v>508</v>
      </c>
      <c r="G111" s="9" t="s">
        <v>2550</v>
      </c>
      <c r="H111" s="9">
        <v>2018</v>
      </c>
      <c r="I111" s="9">
        <v>0.83</v>
      </c>
      <c r="J111" s="82">
        <v>45127</v>
      </c>
      <c r="K111" s="82">
        <v>45867</v>
      </c>
      <c r="L111" s="81">
        <f t="shared" si="3"/>
        <v>24</v>
      </c>
      <c r="M111" s="5">
        <f t="shared" si="4"/>
        <v>40198.559999999998</v>
      </c>
      <c r="N111" s="5">
        <f t="shared" si="5"/>
        <v>1674.9399999999998</v>
      </c>
      <c r="O111" s="15" t="s">
        <v>2416</v>
      </c>
      <c r="P111" s="5" t="s">
        <v>2417</v>
      </c>
      <c r="Q111" s="5" t="s">
        <v>2555</v>
      </c>
      <c r="R111" s="38"/>
    </row>
    <row r="112" spans="1:18">
      <c r="A112" s="5">
        <v>111</v>
      </c>
      <c r="B112" s="5" t="s">
        <v>1599</v>
      </c>
      <c r="C112" s="15" t="s">
        <v>1600</v>
      </c>
      <c r="D112" s="27" t="s">
        <v>1601</v>
      </c>
      <c r="E112" s="5">
        <v>13</v>
      </c>
      <c r="F112" s="5">
        <v>509</v>
      </c>
      <c r="G112" s="9" t="s">
        <v>2550</v>
      </c>
      <c r="H112" s="9">
        <v>2018</v>
      </c>
      <c r="I112" s="9">
        <v>0.83</v>
      </c>
      <c r="J112" s="82">
        <v>45127</v>
      </c>
      <c r="K112" s="82">
        <v>45867</v>
      </c>
      <c r="L112" s="81">
        <f t="shared" si="3"/>
        <v>24</v>
      </c>
      <c r="M112" s="5">
        <f t="shared" si="4"/>
        <v>40198.559999999998</v>
      </c>
      <c r="N112" s="5">
        <f t="shared" si="5"/>
        <v>1674.9399999999998</v>
      </c>
      <c r="O112" s="15" t="s">
        <v>1602</v>
      </c>
      <c r="P112" s="5" t="s">
        <v>1603</v>
      </c>
      <c r="Q112" s="5" t="s">
        <v>2557</v>
      </c>
      <c r="R112" s="38"/>
    </row>
    <row r="113" spans="1:18">
      <c r="A113" s="9">
        <v>112</v>
      </c>
      <c r="B113" s="5" t="s">
        <v>1604</v>
      </c>
      <c r="C113" s="15" t="s">
        <v>1605</v>
      </c>
      <c r="D113" s="27" t="s">
        <v>1606</v>
      </c>
      <c r="E113" s="5">
        <v>13</v>
      </c>
      <c r="F113" s="5">
        <v>510</v>
      </c>
      <c r="G113" s="9" t="s">
        <v>2550</v>
      </c>
      <c r="H113" s="9">
        <v>2018</v>
      </c>
      <c r="I113" s="9">
        <v>0.83</v>
      </c>
      <c r="J113" s="82">
        <v>45127</v>
      </c>
      <c r="K113" s="82">
        <v>45867</v>
      </c>
      <c r="L113" s="81">
        <f t="shared" si="3"/>
        <v>24</v>
      </c>
      <c r="M113" s="5">
        <f t="shared" si="4"/>
        <v>40198.559999999998</v>
      </c>
      <c r="N113" s="5">
        <f t="shared" si="5"/>
        <v>1674.9399999999998</v>
      </c>
      <c r="O113" s="28" t="s">
        <v>1607</v>
      </c>
      <c r="P113" s="5" t="s">
        <v>1608</v>
      </c>
      <c r="Q113" s="5" t="s">
        <v>2555</v>
      </c>
      <c r="R113" s="38"/>
    </row>
    <row r="114" spans="1:18">
      <c r="A114" s="5">
        <v>113</v>
      </c>
      <c r="B114" s="5">
        <v>71300</v>
      </c>
      <c r="C114" s="15" t="s">
        <v>1609</v>
      </c>
      <c r="D114" s="27" t="s">
        <v>1610</v>
      </c>
      <c r="E114" s="5">
        <v>13</v>
      </c>
      <c r="F114" s="5">
        <v>511</v>
      </c>
      <c r="G114" s="9" t="s">
        <v>2550</v>
      </c>
      <c r="H114" s="9">
        <v>2018</v>
      </c>
      <c r="I114" s="9">
        <v>0.83</v>
      </c>
      <c r="J114" s="82">
        <v>45127</v>
      </c>
      <c r="K114" s="82">
        <v>45867</v>
      </c>
      <c r="L114" s="81">
        <f t="shared" si="3"/>
        <v>24</v>
      </c>
      <c r="M114" s="5">
        <f t="shared" si="4"/>
        <v>40198.559999999998</v>
      </c>
      <c r="N114" s="5">
        <f t="shared" si="5"/>
        <v>1674.9399999999998</v>
      </c>
      <c r="O114" s="15" t="s">
        <v>1611</v>
      </c>
      <c r="P114" s="5" t="s">
        <v>1598</v>
      </c>
      <c r="Q114" s="5" t="s">
        <v>2555</v>
      </c>
      <c r="R114" s="38"/>
    </row>
    <row r="115" spans="1:18">
      <c r="A115" s="5">
        <v>114</v>
      </c>
      <c r="B115" s="5">
        <v>71186</v>
      </c>
      <c r="C115" s="15" t="s">
        <v>1612</v>
      </c>
      <c r="D115" s="27" t="s">
        <v>1613</v>
      </c>
      <c r="E115" s="5">
        <v>13</v>
      </c>
      <c r="F115" s="5">
        <v>512</v>
      </c>
      <c r="G115" s="9" t="s">
        <v>2550</v>
      </c>
      <c r="H115" s="9">
        <v>2018</v>
      </c>
      <c r="I115" s="9">
        <v>0.83</v>
      </c>
      <c r="J115" s="82">
        <v>45127</v>
      </c>
      <c r="K115" s="82">
        <v>45867</v>
      </c>
      <c r="L115" s="81">
        <f t="shared" si="3"/>
        <v>24</v>
      </c>
      <c r="M115" s="5">
        <f t="shared" si="4"/>
        <v>40198.559999999998</v>
      </c>
      <c r="N115" s="5">
        <f t="shared" si="5"/>
        <v>1674.9399999999998</v>
      </c>
      <c r="O115" s="15" t="s">
        <v>1614</v>
      </c>
      <c r="P115" s="5" t="s">
        <v>1508</v>
      </c>
      <c r="Q115" s="5" t="s">
        <v>2555</v>
      </c>
      <c r="R115" s="38"/>
    </row>
    <row r="116" spans="1:18" ht="28.8">
      <c r="A116" s="9">
        <v>115</v>
      </c>
      <c r="B116" s="5" t="s">
        <v>1615</v>
      </c>
      <c r="C116" s="15" t="s">
        <v>1616</v>
      </c>
      <c r="D116" s="27" t="s">
        <v>1617</v>
      </c>
      <c r="E116" s="5">
        <v>13</v>
      </c>
      <c r="F116" s="5">
        <v>513</v>
      </c>
      <c r="G116" s="9" t="s">
        <v>2550</v>
      </c>
      <c r="H116" s="9">
        <v>2018</v>
      </c>
      <c r="I116" s="9">
        <v>0.83</v>
      </c>
      <c r="J116" s="82">
        <v>45127</v>
      </c>
      <c r="K116" s="82">
        <v>45867</v>
      </c>
      <c r="L116" s="81">
        <f t="shared" si="3"/>
        <v>24</v>
      </c>
      <c r="M116" s="5">
        <f t="shared" si="4"/>
        <v>40198.559999999998</v>
      </c>
      <c r="N116" s="5">
        <f t="shared" si="5"/>
        <v>1674.9399999999998</v>
      </c>
      <c r="O116" s="15" t="s">
        <v>1618</v>
      </c>
      <c r="P116" s="5" t="s">
        <v>1619</v>
      </c>
      <c r="Q116" s="5" t="s">
        <v>2555</v>
      </c>
      <c r="R116" s="38"/>
    </row>
    <row r="117" spans="1:18">
      <c r="A117" s="5">
        <v>116</v>
      </c>
      <c r="B117" s="5">
        <v>71013</v>
      </c>
      <c r="C117" s="15" t="s">
        <v>1620</v>
      </c>
      <c r="D117" s="27" t="s">
        <v>1621</v>
      </c>
      <c r="E117" s="5">
        <v>13</v>
      </c>
      <c r="F117" s="5">
        <v>514</v>
      </c>
      <c r="G117" s="9" t="s">
        <v>2550</v>
      </c>
      <c r="H117" s="9">
        <v>2018</v>
      </c>
      <c r="I117" s="9">
        <v>0.83</v>
      </c>
      <c r="J117" s="82">
        <v>45127</v>
      </c>
      <c r="K117" s="82">
        <v>45867</v>
      </c>
      <c r="L117" s="81">
        <f t="shared" si="3"/>
        <v>24</v>
      </c>
      <c r="M117" s="5">
        <f t="shared" si="4"/>
        <v>40198.559999999998</v>
      </c>
      <c r="N117" s="5">
        <f t="shared" si="5"/>
        <v>1674.9399999999998</v>
      </c>
      <c r="O117" s="15" t="s">
        <v>1622</v>
      </c>
      <c r="P117" s="5" t="s">
        <v>1623</v>
      </c>
      <c r="Q117" s="5" t="s">
        <v>2555</v>
      </c>
      <c r="R117" s="38"/>
    </row>
    <row r="118" spans="1:18">
      <c r="A118" s="5">
        <v>117</v>
      </c>
      <c r="B118" s="5" t="s">
        <v>1624</v>
      </c>
      <c r="C118" s="15" t="s">
        <v>1625</v>
      </c>
      <c r="D118" s="27" t="s">
        <v>1626</v>
      </c>
      <c r="E118" s="5">
        <v>13</v>
      </c>
      <c r="F118" s="5">
        <v>515</v>
      </c>
      <c r="G118" s="9" t="s">
        <v>2550</v>
      </c>
      <c r="H118" s="9">
        <v>2018</v>
      </c>
      <c r="I118" s="9">
        <v>0.83</v>
      </c>
      <c r="J118" s="82">
        <v>45127</v>
      </c>
      <c r="K118" s="82">
        <v>45867</v>
      </c>
      <c r="L118" s="81">
        <f t="shared" si="3"/>
        <v>24</v>
      </c>
      <c r="M118" s="5">
        <f t="shared" si="4"/>
        <v>40198.559999999998</v>
      </c>
      <c r="N118" s="5">
        <f t="shared" si="5"/>
        <v>1674.9399999999998</v>
      </c>
      <c r="O118" s="15" t="s">
        <v>1627</v>
      </c>
      <c r="P118" s="5" t="s">
        <v>1628</v>
      </c>
      <c r="Q118" s="5" t="s">
        <v>2555</v>
      </c>
      <c r="R118" s="38"/>
    </row>
    <row r="119" spans="1:18">
      <c r="A119" s="9">
        <v>118</v>
      </c>
      <c r="B119" s="5" t="s">
        <v>1629</v>
      </c>
      <c r="C119" s="15" t="s">
        <v>1630</v>
      </c>
      <c r="D119" s="27" t="s">
        <v>1631</v>
      </c>
      <c r="E119" s="5">
        <v>13</v>
      </c>
      <c r="F119" s="5">
        <v>516</v>
      </c>
      <c r="G119" s="9" t="s">
        <v>2550</v>
      </c>
      <c r="H119" s="9">
        <v>2018</v>
      </c>
      <c r="I119" s="9">
        <v>0.83</v>
      </c>
      <c r="J119" s="82">
        <v>45127</v>
      </c>
      <c r="K119" s="82">
        <v>45867</v>
      </c>
      <c r="L119" s="81">
        <f t="shared" si="3"/>
        <v>24</v>
      </c>
      <c r="M119" s="5">
        <f t="shared" si="4"/>
        <v>40198.559999999998</v>
      </c>
      <c r="N119" s="5">
        <f t="shared" si="5"/>
        <v>1674.9399999999998</v>
      </c>
      <c r="O119" s="15" t="s">
        <v>1632</v>
      </c>
      <c r="P119" s="5" t="s">
        <v>1633</v>
      </c>
      <c r="Q119" s="5" t="s">
        <v>2557</v>
      </c>
      <c r="R119" s="38"/>
    </row>
    <row r="120" spans="1:18">
      <c r="A120" s="5">
        <v>119</v>
      </c>
      <c r="B120" s="5">
        <v>71177</v>
      </c>
      <c r="C120" s="15" t="s">
        <v>1634</v>
      </c>
      <c r="D120" s="27" t="s">
        <v>1635</v>
      </c>
      <c r="E120" s="5">
        <v>13</v>
      </c>
      <c r="F120" s="5">
        <v>517</v>
      </c>
      <c r="G120" s="9" t="s">
        <v>2550</v>
      </c>
      <c r="H120" s="9">
        <v>2018</v>
      </c>
      <c r="I120" s="9">
        <v>0.83</v>
      </c>
      <c r="J120" s="82">
        <v>45127</v>
      </c>
      <c r="K120" s="82">
        <v>45867</v>
      </c>
      <c r="L120" s="81">
        <f t="shared" si="3"/>
        <v>24</v>
      </c>
      <c r="M120" s="5">
        <f t="shared" si="4"/>
        <v>40198.559999999998</v>
      </c>
      <c r="N120" s="5">
        <f t="shared" si="5"/>
        <v>1674.9399999999998</v>
      </c>
      <c r="O120" s="15" t="s">
        <v>1636</v>
      </c>
      <c r="P120" s="5" t="s">
        <v>1637</v>
      </c>
      <c r="Q120" s="5" t="s">
        <v>2555</v>
      </c>
      <c r="R120" s="38"/>
    </row>
    <row r="121" spans="1:18">
      <c r="A121" s="5">
        <v>120</v>
      </c>
      <c r="B121" s="5" t="s">
        <v>2444</v>
      </c>
      <c r="C121" s="15" t="s">
        <v>2443</v>
      </c>
      <c r="D121" s="27" t="s">
        <v>2445</v>
      </c>
      <c r="E121" s="5">
        <v>13</v>
      </c>
      <c r="F121" s="5">
        <v>518</v>
      </c>
      <c r="G121" s="9" t="s">
        <v>2550</v>
      </c>
      <c r="H121" s="9">
        <v>2018</v>
      </c>
      <c r="I121" s="9">
        <v>0.83</v>
      </c>
      <c r="J121" s="82">
        <v>45127</v>
      </c>
      <c r="K121" s="82">
        <v>45867</v>
      </c>
      <c r="L121" s="81">
        <f t="shared" si="3"/>
        <v>24</v>
      </c>
      <c r="M121" s="5">
        <f t="shared" si="4"/>
        <v>40198.559999999998</v>
      </c>
      <c r="N121" s="5">
        <f t="shared" si="5"/>
        <v>1674.9399999999998</v>
      </c>
      <c r="O121" s="28" t="s">
        <v>2446</v>
      </c>
      <c r="P121" s="5" t="s">
        <v>2447</v>
      </c>
      <c r="Q121" s="5" t="s">
        <v>2555</v>
      </c>
      <c r="R121" s="38"/>
    </row>
    <row r="122" spans="1:18">
      <c r="A122" s="9">
        <v>121</v>
      </c>
      <c r="B122" s="5" t="s">
        <v>1638</v>
      </c>
      <c r="C122" s="15" t="s">
        <v>1639</v>
      </c>
      <c r="D122" s="27" t="s">
        <v>1640</v>
      </c>
      <c r="E122" s="5">
        <v>13</v>
      </c>
      <c r="F122" s="5">
        <v>519</v>
      </c>
      <c r="G122" s="9" t="s">
        <v>2550</v>
      </c>
      <c r="H122" s="9">
        <v>2018</v>
      </c>
      <c r="I122" s="9">
        <v>0.83</v>
      </c>
      <c r="J122" s="82">
        <v>45127</v>
      </c>
      <c r="K122" s="82">
        <v>45867</v>
      </c>
      <c r="L122" s="81">
        <f t="shared" si="3"/>
        <v>24</v>
      </c>
      <c r="M122" s="5">
        <f t="shared" si="4"/>
        <v>40198.559999999998</v>
      </c>
      <c r="N122" s="5">
        <f t="shared" si="5"/>
        <v>1674.9399999999998</v>
      </c>
      <c r="O122" s="28" t="s">
        <v>1641</v>
      </c>
      <c r="P122" s="5" t="s">
        <v>1642</v>
      </c>
      <c r="Q122" s="5" t="s">
        <v>2555</v>
      </c>
      <c r="R122" s="38"/>
    </row>
    <row r="123" spans="1:18">
      <c r="A123" s="5">
        <v>122</v>
      </c>
      <c r="B123" s="5" t="s">
        <v>1643</v>
      </c>
      <c r="C123" s="15" t="s">
        <v>1644</v>
      </c>
      <c r="D123" s="27" t="s">
        <v>1645</v>
      </c>
      <c r="E123" s="5">
        <v>13</v>
      </c>
      <c r="F123" s="5">
        <v>520</v>
      </c>
      <c r="G123" s="9" t="s">
        <v>2550</v>
      </c>
      <c r="H123" s="9">
        <v>2018</v>
      </c>
      <c r="I123" s="9">
        <v>0.83</v>
      </c>
      <c r="J123" s="82">
        <v>45127</v>
      </c>
      <c r="K123" s="82">
        <v>45867</v>
      </c>
      <c r="L123" s="81">
        <f t="shared" si="3"/>
        <v>24</v>
      </c>
      <c r="M123" s="5">
        <f t="shared" si="4"/>
        <v>40198.559999999998</v>
      </c>
      <c r="N123" s="5">
        <f t="shared" si="5"/>
        <v>1674.9399999999998</v>
      </c>
      <c r="O123" s="15" t="s">
        <v>1646</v>
      </c>
      <c r="P123" s="5" t="s">
        <v>1647</v>
      </c>
      <c r="Q123" s="5" t="s">
        <v>2557</v>
      </c>
      <c r="R123" s="38"/>
    </row>
    <row r="124" spans="1:18">
      <c r="A124" s="5">
        <v>123</v>
      </c>
      <c r="B124" s="5" t="s">
        <v>1648</v>
      </c>
      <c r="C124" s="15" t="s">
        <v>1649</v>
      </c>
      <c r="D124" s="27" t="s">
        <v>1650</v>
      </c>
      <c r="E124" s="5">
        <v>13</v>
      </c>
      <c r="F124" s="5">
        <v>521</v>
      </c>
      <c r="G124" s="9" t="s">
        <v>2550</v>
      </c>
      <c r="H124" s="9">
        <v>2018</v>
      </c>
      <c r="I124" s="9">
        <v>0.83</v>
      </c>
      <c r="J124" s="82">
        <v>45127</v>
      </c>
      <c r="K124" s="82">
        <v>45867</v>
      </c>
      <c r="L124" s="81">
        <f t="shared" si="3"/>
        <v>24</v>
      </c>
      <c r="M124" s="5">
        <f t="shared" si="4"/>
        <v>40198.559999999998</v>
      </c>
      <c r="N124" s="5">
        <f t="shared" si="5"/>
        <v>1674.9399999999998</v>
      </c>
      <c r="O124" s="28" t="s">
        <v>1651</v>
      </c>
      <c r="P124" s="5" t="s">
        <v>1652</v>
      </c>
      <c r="Q124" s="5" t="s">
        <v>2557</v>
      </c>
      <c r="R124" s="38"/>
    </row>
    <row r="125" spans="1:18">
      <c r="A125" s="9">
        <v>124</v>
      </c>
      <c r="B125" s="5">
        <v>71039</v>
      </c>
      <c r="C125" s="15" t="s">
        <v>1653</v>
      </c>
      <c r="D125" s="27" t="s">
        <v>1654</v>
      </c>
      <c r="E125" s="5">
        <v>13</v>
      </c>
      <c r="F125" s="5">
        <v>522</v>
      </c>
      <c r="G125" s="9" t="s">
        <v>2550</v>
      </c>
      <c r="H125" s="9">
        <v>2018</v>
      </c>
      <c r="I125" s="9">
        <v>0.83</v>
      </c>
      <c r="J125" s="82">
        <v>45127</v>
      </c>
      <c r="K125" s="82">
        <v>45867</v>
      </c>
      <c r="L125" s="81">
        <f t="shared" si="3"/>
        <v>24</v>
      </c>
      <c r="M125" s="5">
        <f t="shared" si="4"/>
        <v>40198.559999999998</v>
      </c>
      <c r="N125" s="5">
        <f t="shared" si="5"/>
        <v>1674.9399999999998</v>
      </c>
      <c r="O125" s="15" t="s">
        <v>1655</v>
      </c>
      <c r="P125" s="5" t="s">
        <v>1656</v>
      </c>
      <c r="Q125" s="5" t="s">
        <v>2555</v>
      </c>
      <c r="R125" s="38"/>
    </row>
    <row r="126" spans="1:18">
      <c r="A126" s="5">
        <v>125</v>
      </c>
      <c r="B126" s="5" t="s">
        <v>1657</v>
      </c>
      <c r="C126" s="15" t="s">
        <v>1658</v>
      </c>
      <c r="D126" s="27" t="s">
        <v>1659</v>
      </c>
      <c r="E126" s="5">
        <v>13</v>
      </c>
      <c r="F126" s="5">
        <v>523</v>
      </c>
      <c r="G126" s="9" t="s">
        <v>2550</v>
      </c>
      <c r="H126" s="9">
        <v>2018</v>
      </c>
      <c r="I126" s="9">
        <v>0.83</v>
      </c>
      <c r="J126" s="82">
        <v>45127</v>
      </c>
      <c r="K126" s="82">
        <v>45867</v>
      </c>
      <c r="L126" s="81">
        <f t="shared" si="3"/>
        <v>24</v>
      </c>
      <c r="M126" s="5">
        <f t="shared" si="4"/>
        <v>40198.559999999998</v>
      </c>
      <c r="N126" s="5">
        <f t="shared" si="5"/>
        <v>1674.9399999999998</v>
      </c>
      <c r="O126" s="28" t="s">
        <v>1660</v>
      </c>
      <c r="P126" s="5" t="s">
        <v>1661</v>
      </c>
      <c r="Q126" s="5" t="s">
        <v>2555</v>
      </c>
      <c r="R126" s="38"/>
    </row>
    <row r="127" spans="1:18" ht="28.8">
      <c r="A127" s="5">
        <v>126</v>
      </c>
      <c r="B127" s="5" t="s">
        <v>1662</v>
      </c>
      <c r="C127" s="15" t="s">
        <v>1663</v>
      </c>
      <c r="D127" s="27" t="s">
        <v>1664</v>
      </c>
      <c r="E127" s="5">
        <v>13</v>
      </c>
      <c r="F127" s="5">
        <v>524</v>
      </c>
      <c r="G127" s="9" t="s">
        <v>2550</v>
      </c>
      <c r="H127" s="9">
        <v>2018</v>
      </c>
      <c r="I127" s="9">
        <v>0.83</v>
      </c>
      <c r="J127" s="82">
        <v>45127</v>
      </c>
      <c r="K127" s="82">
        <v>45867</v>
      </c>
      <c r="L127" s="81">
        <f t="shared" si="3"/>
        <v>24</v>
      </c>
      <c r="M127" s="5">
        <f t="shared" si="4"/>
        <v>40198.559999999998</v>
      </c>
      <c r="N127" s="5">
        <f t="shared" si="5"/>
        <v>1674.9399999999998</v>
      </c>
      <c r="O127" s="15" t="s">
        <v>1665</v>
      </c>
      <c r="P127" s="5" t="s">
        <v>1666</v>
      </c>
      <c r="Q127" s="5" t="s">
        <v>2555</v>
      </c>
      <c r="R127" s="38"/>
    </row>
    <row r="128" spans="1:18">
      <c r="A128" s="9">
        <v>127</v>
      </c>
      <c r="B128" s="5" t="s">
        <v>1667</v>
      </c>
      <c r="C128" s="15" t="s">
        <v>1668</v>
      </c>
      <c r="D128" s="27" t="s">
        <v>1669</v>
      </c>
      <c r="E128" s="5">
        <v>13</v>
      </c>
      <c r="F128" s="5">
        <v>525</v>
      </c>
      <c r="G128" s="9" t="s">
        <v>2550</v>
      </c>
      <c r="H128" s="9">
        <v>2018</v>
      </c>
      <c r="I128" s="9">
        <v>0.83</v>
      </c>
      <c r="J128" s="82">
        <v>45127</v>
      </c>
      <c r="K128" s="82">
        <v>45867</v>
      </c>
      <c r="L128" s="81">
        <f t="shared" si="3"/>
        <v>24</v>
      </c>
      <c r="M128" s="5">
        <f t="shared" si="4"/>
        <v>40198.559999999998</v>
      </c>
      <c r="N128" s="5">
        <f t="shared" si="5"/>
        <v>1674.9399999999998</v>
      </c>
      <c r="O128" s="15" t="s">
        <v>1670</v>
      </c>
      <c r="P128" s="5" t="s">
        <v>1671</v>
      </c>
      <c r="Q128" s="5" t="s">
        <v>2555</v>
      </c>
      <c r="R128" s="38"/>
    </row>
    <row r="129" spans="1:18">
      <c r="A129" s="5">
        <v>128</v>
      </c>
      <c r="B129" s="5">
        <v>71110</v>
      </c>
      <c r="C129" s="15" t="s">
        <v>1672</v>
      </c>
      <c r="D129" s="27" t="s">
        <v>1673</v>
      </c>
      <c r="E129" s="5">
        <v>13</v>
      </c>
      <c r="F129" s="5">
        <v>526</v>
      </c>
      <c r="G129" s="9" t="s">
        <v>2550</v>
      </c>
      <c r="H129" s="9">
        <v>2018</v>
      </c>
      <c r="I129" s="9">
        <v>0.83</v>
      </c>
      <c r="J129" s="82">
        <v>45127</v>
      </c>
      <c r="K129" s="82">
        <v>45867</v>
      </c>
      <c r="L129" s="81">
        <f t="shared" si="3"/>
        <v>24</v>
      </c>
      <c r="M129" s="5">
        <f t="shared" si="4"/>
        <v>40198.559999999998</v>
      </c>
      <c r="N129" s="5">
        <f t="shared" si="5"/>
        <v>1674.9399999999998</v>
      </c>
      <c r="O129" s="15" t="s">
        <v>1674</v>
      </c>
      <c r="P129" s="5" t="s">
        <v>1675</v>
      </c>
      <c r="Q129" s="5" t="s">
        <v>2555</v>
      </c>
      <c r="R129" s="38"/>
    </row>
    <row r="130" spans="1:18">
      <c r="A130" s="5">
        <v>129</v>
      </c>
      <c r="B130" s="5" t="s">
        <v>1676</v>
      </c>
      <c r="C130" s="15" t="s">
        <v>1677</v>
      </c>
      <c r="D130" s="27" t="s">
        <v>1678</v>
      </c>
      <c r="E130" s="5">
        <v>13</v>
      </c>
      <c r="F130" s="5">
        <v>527</v>
      </c>
      <c r="G130" s="9" t="s">
        <v>2550</v>
      </c>
      <c r="H130" s="9">
        <v>2018</v>
      </c>
      <c r="I130" s="9">
        <v>0.83</v>
      </c>
      <c r="J130" s="82">
        <v>45127</v>
      </c>
      <c r="K130" s="82">
        <v>45867</v>
      </c>
      <c r="L130" s="81">
        <f t="shared" si="3"/>
        <v>24</v>
      </c>
      <c r="M130" s="5">
        <f t="shared" si="4"/>
        <v>40198.559999999998</v>
      </c>
      <c r="N130" s="5">
        <f t="shared" si="5"/>
        <v>1674.9399999999998</v>
      </c>
      <c r="O130" s="15" t="s">
        <v>1679</v>
      </c>
      <c r="P130" s="5" t="s">
        <v>1680</v>
      </c>
      <c r="Q130" s="5" t="s">
        <v>2555</v>
      </c>
      <c r="R130" s="38"/>
    </row>
    <row r="131" spans="1:18">
      <c r="A131" s="9">
        <v>130</v>
      </c>
      <c r="B131" s="5" t="s">
        <v>1681</v>
      </c>
      <c r="C131" s="15" t="s">
        <v>1682</v>
      </c>
      <c r="D131" s="27" t="s">
        <v>1683</v>
      </c>
      <c r="E131" s="5">
        <v>13</v>
      </c>
      <c r="F131" s="5">
        <v>528</v>
      </c>
      <c r="G131" s="9" t="s">
        <v>2550</v>
      </c>
      <c r="H131" s="9">
        <v>2018</v>
      </c>
      <c r="I131" s="9">
        <v>0.83</v>
      </c>
      <c r="J131" s="82">
        <v>45127</v>
      </c>
      <c r="K131" s="82">
        <v>45867</v>
      </c>
      <c r="L131" s="81">
        <f t="shared" ref="L131:L194" si="6">DATEDIF(J131,K131,"M")</f>
        <v>24</v>
      </c>
      <c r="M131" s="5">
        <f t="shared" ref="M131:M194" si="7">I131*H131*L131</f>
        <v>40198.559999999998</v>
      </c>
      <c r="N131" s="5">
        <f t="shared" ref="N131:N194" si="8">M131/24</f>
        <v>1674.9399999999998</v>
      </c>
      <c r="O131" s="28" t="s">
        <v>1684</v>
      </c>
      <c r="P131" s="5" t="s">
        <v>1685</v>
      </c>
      <c r="Q131" s="5" t="s">
        <v>2557</v>
      </c>
      <c r="R131" s="38"/>
    </row>
    <row r="132" spans="1:18" ht="28.8">
      <c r="A132" s="5">
        <v>131</v>
      </c>
      <c r="B132" s="5" t="s">
        <v>1686</v>
      </c>
      <c r="C132" s="15" t="s">
        <v>1687</v>
      </c>
      <c r="D132" s="27" t="s">
        <v>1688</v>
      </c>
      <c r="E132" s="5">
        <v>13</v>
      </c>
      <c r="F132" s="5">
        <v>529</v>
      </c>
      <c r="G132" s="9" t="s">
        <v>2550</v>
      </c>
      <c r="H132" s="9">
        <v>2018</v>
      </c>
      <c r="I132" s="9">
        <v>0.83</v>
      </c>
      <c r="J132" s="82">
        <v>45127</v>
      </c>
      <c r="K132" s="82">
        <v>45867</v>
      </c>
      <c r="L132" s="81">
        <f t="shared" si="6"/>
        <v>24</v>
      </c>
      <c r="M132" s="5">
        <f t="shared" si="7"/>
        <v>40198.559999999998</v>
      </c>
      <c r="N132" s="5">
        <f t="shared" si="8"/>
        <v>1674.9399999999998</v>
      </c>
      <c r="O132" s="28" t="s">
        <v>1689</v>
      </c>
      <c r="P132" s="5" t="s">
        <v>1690</v>
      </c>
      <c r="Q132" s="5" t="s">
        <v>2557</v>
      </c>
      <c r="R132" s="38"/>
    </row>
    <row r="133" spans="1:18" ht="28.8">
      <c r="A133" s="5">
        <v>132</v>
      </c>
      <c r="B133" s="5">
        <v>71358</v>
      </c>
      <c r="C133" s="15" t="s">
        <v>1687</v>
      </c>
      <c r="D133" s="27" t="s">
        <v>1688</v>
      </c>
      <c r="E133" s="5">
        <v>13</v>
      </c>
      <c r="F133" s="5">
        <v>530</v>
      </c>
      <c r="G133" s="9" t="s">
        <v>2550</v>
      </c>
      <c r="H133" s="9">
        <v>2018</v>
      </c>
      <c r="I133" s="9">
        <v>0.83</v>
      </c>
      <c r="J133" s="82">
        <v>45127</v>
      </c>
      <c r="K133" s="82">
        <v>45867</v>
      </c>
      <c r="L133" s="81">
        <f t="shared" si="6"/>
        <v>24</v>
      </c>
      <c r="M133" s="5">
        <f t="shared" si="7"/>
        <v>40198.559999999998</v>
      </c>
      <c r="N133" s="5">
        <f t="shared" si="8"/>
        <v>1674.9399999999998</v>
      </c>
      <c r="O133" s="28" t="s">
        <v>1689</v>
      </c>
      <c r="P133" s="5" t="s">
        <v>1690</v>
      </c>
      <c r="Q133" s="5" t="s">
        <v>2557</v>
      </c>
      <c r="R133" s="38"/>
    </row>
    <row r="134" spans="1:18">
      <c r="A134" s="9">
        <v>133</v>
      </c>
      <c r="B134" s="5" t="s">
        <v>1691</v>
      </c>
      <c r="C134" s="15" t="s">
        <v>1692</v>
      </c>
      <c r="D134" s="27" t="s">
        <v>1693</v>
      </c>
      <c r="E134" s="5">
        <v>26</v>
      </c>
      <c r="F134" s="5">
        <v>531</v>
      </c>
      <c r="G134" s="9" t="s">
        <v>2550</v>
      </c>
      <c r="H134" s="9">
        <v>2018</v>
      </c>
      <c r="I134" s="9">
        <v>0.83</v>
      </c>
      <c r="J134" s="82">
        <v>45127</v>
      </c>
      <c r="K134" s="82">
        <v>45867</v>
      </c>
      <c r="L134" s="81">
        <f t="shared" si="6"/>
        <v>24</v>
      </c>
      <c r="M134" s="5">
        <f t="shared" si="7"/>
        <v>40198.559999999998</v>
      </c>
      <c r="N134" s="5">
        <f t="shared" si="8"/>
        <v>1674.9399999999998</v>
      </c>
      <c r="O134" s="28" t="s">
        <v>1694</v>
      </c>
      <c r="P134" s="5" t="s">
        <v>1695</v>
      </c>
      <c r="Q134" s="5" t="s">
        <v>2557</v>
      </c>
      <c r="R134" s="38"/>
    </row>
    <row r="135" spans="1:18">
      <c r="A135" s="5">
        <v>134</v>
      </c>
      <c r="B135" s="5" t="s">
        <v>1696</v>
      </c>
      <c r="C135" s="15" t="s">
        <v>1697</v>
      </c>
      <c r="D135" s="27" t="s">
        <v>1698</v>
      </c>
      <c r="E135" s="5">
        <v>26</v>
      </c>
      <c r="F135" s="5">
        <v>532</v>
      </c>
      <c r="G135" s="9" t="s">
        <v>2550</v>
      </c>
      <c r="H135" s="9">
        <v>2018</v>
      </c>
      <c r="I135" s="9">
        <v>0.83</v>
      </c>
      <c r="J135" s="82">
        <v>45127</v>
      </c>
      <c r="K135" s="82">
        <v>45867</v>
      </c>
      <c r="L135" s="81">
        <f t="shared" si="6"/>
        <v>24</v>
      </c>
      <c r="M135" s="5">
        <f t="shared" si="7"/>
        <v>40198.559999999998</v>
      </c>
      <c r="N135" s="5">
        <f t="shared" si="8"/>
        <v>1674.9399999999998</v>
      </c>
      <c r="O135" s="15" t="s">
        <v>1699</v>
      </c>
      <c r="P135" s="5" t="s">
        <v>1700</v>
      </c>
      <c r="Q135" s="5" t="s">
        <v>2555</v>
      </c>
      <c r="R135" s="38"/>
    </row>
    <row r="136" spans="1:18">
      <c r="A136" s="5">
        <v>135</v>
      </c>
      <c r="B136" s="5" t="s">
        <v>1701</v>
      </c>
      <c r="C136" s="15" t="s">
        <v>1702</v>
      </c>
      <c r="D136" s="27" t="s">
        <v>1703</v>
      </c>
      <c r="E136" s="5">
        <v>26</v>
      </c>
      <c r="F136" s="5">
        <v>533</v>
      </c>
      <c r="G136" s="9" t="s">
        <v>2550</v>
      </c>
      <c r="H136" s="9">
        <v>2018</v>
      </c>
      <c r="I136" s="9">
        <v>0.83</v>
      </c>
      <c r="J136" s="82">
        <v>45127</v>
      </c>
      <c r="K136" s="82">
        <v>45867</v>
      </c>
      <c r="L136" s="81">
        <f t="shared" si="6"/>
        <v>24</v>
      </c>
      <c r="M136" s="5">
        <f t="shared" si="7"/>
        <v>40198.559999999998</v>
      </c>
      <c r="N136" s="5">
        <f t="shared" si="8"/>
        <v>1674.9399999999998</v>
      </c>
      <c r="O136" s="15" t="s">
        <v>1704</v>
      </c>
      <c r="P136" s="5" t="s">
        <v>1705</v>
      </c>
      <c r="Q136" s="5" t="s">
        <v>2557</v>
      </c>
      <c r="R136" s="38"/>
    </row>
    <row r="137" spans="1:18">
      <c r="A137" s="9">
        <v>136</v>
      </c>
      <c r="B137" s="5" t="s">
        <v>1706</v>
      </c>
      <c r="C137" s="15" t="s">
        <v>1707</v>
      </c>
      <c r="D137" s="27" t="s">
        <v>1708</v>
      </c>
      <c r="E137" s="5">
        <v>26</v>
      </c>
      <c r="F137" s="5">
        <v>534</v>
      </c>
      <c r="G137" s="9" t="s">
        <v>2550</v>
      </c>
      <c r="H137" s="9">
        <v>2018</v>
      </c>
      <c r="I137" s="9">
        <v>0.83</v>
      </c>
      <c r="J137" s="82">
        <v>45127</v>
      </c>
      <c r="K137" s="82">
        <v>45867</v>
      </c>
      <c r="L137" s="81">
        <f t="shared" si="6"/>
        <v>24</v>
      </c>
      <c r="M137" s="5">
        <f t="shared" si="7"/>
        <v>40198.559999999998</v>
      </c>
      <c r="N137" s="5">
        <f t="shared" si="8"/>
        <v>1674.9399999999998</v>
      </c>
      <c r="O137" s="15" t="s">
        <v>1709</v>
      </c>
      <c r="P137" s="5" t="s">
        <v>1710</v>
      </c>
      <c r="Q137" s="5" t="s">
        <v>2557</v>
      </c>
      <c r="R137" s="38"/>
    </row>
    <row r="138" spans="1:18">
      <c r="A138" s="5">
        <v>137</v>
      </c>
      <c r="B138" s="5">
        <v>71312</v>
      </c>
      <c r="C138" s="15" t="s">
        <v>1711</v>
      </c>
      <c r="D138" s="27" t="s">
        <v>1712</v>
      </c>
      <c r="E138" s="5">
        <v>13</v>
      </c>
      <c r="F138" s="5">
        <v>535</v>
      </c>
      <c r="G138" s="9" t="s">
        <v>2550</v>
      </c>
      <c r="H138" s="9">
        <v>2018</v>
      </c>
      <c r="I138" s="9">
        <v>0.83</v>
      </c>
      <c r="J138" s="82">
        <v>45127</v>
      </c>
      <c r="K138" s="82">
        <v>45867</v>
      </c>
      <c r="L138" s="81">
        <f t="shared" si="6"/>
        <v>24</v>
      </c>
      <c r="M138" s="5">
        <f t="shared" si="7"/>
        <v>40198.559999999998</v>
      </c>
      <c r="N138" s="5">
        <f t="shared" si="8"/>
        <v>1674.9399999999998</v>
      </c>
      <c r="O138" s="15" t="s">
        <v>1713</v>
      </c>
      <c r="P138" s="5" t="s">
        <v>1714</v>
      </c>
      <c r="Q138" s="5" t="s">
        <v>2555</v>
      </c>
      <c r="R138" s="38"/>
    </row>
    <row r="139" spans="1:18">
      <c r="A139" s="5">
        <v>138</v>
      </c>
      <c r="B139" s="5" t="s">
        <v>2502</v>
      </c>
      <c r="C139" s="15" t="s">
        <v>2501</v>
      </c>
      <c r="D139" s="27" t="s">
        <v>2503</v>
      </c>
      <c r="E139" s="5">
        <v>13</v>
      </c>
      <c r="F139" s="5">
        <v>536</v>
      </c>
      <c r="G139" s="9" t="s">
        <v>2550</v>
      </c>
      <c r="H139" s="9">
        <v>2018</v>
      </c>
      <c r="I139" s="9">
        <v>0.83</v>
      </c>
      <c r="J139" s="82">
        <v>45127</v>
      </c>
      <c r="K139" s="82">
        <v>45867</v>
      </c>
      <c r="L139" s="81">
        <f t="shared" si="6"/>
        <v>24</v>
      </c>
      <c r="M139" s="5">
        <f t="shared" si="7"/>
        <v>40198.559999999998</v>
      </c>
      <c r="N139" s="5">
        <f t="shared" si="8"/>
        <v>1674.9399999999998</v>
      </c>
      <c r="O139" s="28" t="s">
        <v>2504</v>
      </c>
      <c r="P139" s="5" t="s">
        <v>2505</v>
      </c>
      <c r="Q139" s="5" t="s">
        <v>2554</v>
      </c>
      <c r="R139" s="38"/>
    </row>
    <row r="140" spans="1:18">
      <c r="A140" s="9">
        <v>139</v>
      </c>
      <c r="B140" s="5">
        <v>71351</v>
      </c>
      <c r="C140" s="15" t="s">
        <v>1715</v>
      </c>
      <c r="D140" s="27" t="s">
        <v>1716</v>
      </c>
      <c r="E140" s="5">
        <v>13</v>
      </c>
      <c r="F140" s="5">
        <v>537</v>
      </c>
      <c r="G140" s="9" t="s">
        <v>2550</v>
      </c>
      <c r="H140" s="9">
        <v>2018</v>
      </c>
      <c r="I140" s="9">
        <v>0.83</v>
      </c>
      <c r="J140" s="82">
        <v>45127</v>
      </c>
      <c r="K140" s="82">
        <v>45867</v>
      </c>
      <c r="L140" s="81">
        <f t="shared" si="6"/>
        <v>24</v>
      </c>
      <c r="M140" s="5">
        <f t="shared" si="7"/>
        <v>40198.559999999998</v>
      </c>
      <c r="N140" s="5">
        <f t="shared" si="8"/>
        <v>1674.9399999999998</v>
      </c>
      <c r="O140" s="15" t="s">
        <v>1717</v>
      </c>
      <c r="P140" s="5" t="s">
        <v>1718</v>
      </c>
      <c r="Q140" s="5" t="s">
        <v>2555</v>
      </c>
      <c r="R140" s="38"/>
    </row>
    <row r="141" spans="1:18" ht="28.8">
      <c r="A141" s="5">
        <v>140</v>
      </c>
      <c r="B141" s="5" t="s">
        <v>1719</v>
      </c>
      <c r="C141" s="15" t="s">
        <v>1720</v>
      </c>
      <c r="D141" s="27" t="s">
        <v>1721</v>
      </c>
      <c r="E141" s="5">
        <v>13</v>
      </c>
      <c r="F141" s="5">
        <v>538</v>
      </c>
      <c r="G141" s="9" t="s">
        <v>2550</v>
      </c>
      <c r="H141" s="9">
        <v>2018</v>
      </c>
      <c r="I141" s="9">
        <v>0.83</v>
      </c>
      <c r="J141" s="82">
        <v>45127</v>
      </c>
      <c r="K141" s="82">
        <v>45867</v>
      </c>
      <c r="L141" s="81">
        <f t="shared" si="6"/>
        <v>24</v>
      </c>
      <c r="M141" s="5">
        <f t="shared" si="7"/>
        <v>40198.559999999998</v>
      </c>
      <c r="N141" s="5">
        <f t="shared" si="8"/>
        <v>1674.9399999999998</v>
      </c>
      <c r="O141" s="15" t="s">
        <v>1722</v>
      </c>
      <c r="P141" s="5" t="s">
        <v>1723</v>
      </c>
      <c r="Q141" s="5" t="s">
        <v>2555</v>
      </c>
      <c r="R141" s="38"/>
    </row>
    <row r="142" spans="1:18">
      <c r="A142" s="5">
        <v>141</v>
      </c>
      <c r="B142" s="5">
        <v>71352</v>
      </c>
      <c r="C142" s="15" t="s">
        <v>1724</v>
      </c>
      <c r="D142" s="27" t="s">
        <v>1725</v>
      </c>
      <c r="E142" s="5">
        <v>13</v>
      </c>
      <c r="F142" s="5">
        <v>539</v>
      </c>
      <c r="G142" s="9" t="s">
        <v>2550</v>
      </c>
      <c r="H142" s="9">
        <v>2018</v>
      </c>
      <c r="I142" s="9">
        <v>0.83</v>
      </c>
      <c r="J142" s="82">
        <v>45127</v>
      </c>
      <c r="K142" s="82">
        <v>45867</v>
      </c>
      <c r="L142" s="81">
        <f t="shared" si="6"/>
        <v>24</v>
      </c>
      <c r="M142" s="5">
        <f t="shared" si="7"/>
        <v>40198.559999999998</v>
      </c>
      <c r="N142" s="5">
        <f t="shared" si="8"/>
        <v>1674.9399999999998</v>
      </c>
      <c r="O142" s="15" t="s">
        <v>1726</v>
      </c>
      <c r="P142" s="5" t="s">
        <v>1727</v>
      </c>
      <c r="Q142" s="5" t="s">
        <v>2555</v>
      </c>
      <c r="R142" s="38"/>
    </row>
    <row r="143" spans="1:18">
      <c r="A143" s="9">
        <v>142</v>
      </c>
      <c r="B143" s="5" t="s">
        <v>1728</v>
      </c>
      <c r="C143" s="15" t="s">
        <v>1729</v>
      </c>
      <c r="D143" s="27" t="s">
        <v>1730</v>
      </c>
      <c r="E143" s="5">
        <v>13</v>
      </c>
      <c r="F143" s="5">
        <v>540</v>
      </c>
      <c r="G143" s="9" t="s">
        <v>2550</v>
      </c>
      <c r="H143" s="9">
        <v>2018</v>
      </c>
      <c r="I143" s="9">
        <v>0.83</v>
      </c>
      <c r="J143" s="82">
        <v>45127</v>
      </c>
      <c r="K143" s="82">
        <v>45867</v>
      </c>
      <c r="L143" s="81">
        <f t="shared" si="6"/>
        <v>24</v>
      </c>
      <c r="M143" s="5">
        <f t="shared" si="7"/>
        <v>40198.559999999998</v>
      </c>
      <c r="N143" s="5">
        <f t="shared" si="8"/>
        <v>1674.9399999999998</v>
      </c>
      <c r="O143" s="15" t="s">
        <v>1731</v>
      </c>
      <c r="P143" s="5" t="s">
        <v>1732</v>
      </c>
      <c r="Q143" s="5" t="s">
        <v>2555</v>
      </c>
      <c r="R143" s="38"/>
    </row>
    <row r="144" spans="1:18" ht="28.8">
      <c r="A144" s="5">
        <v>143</v>
      </c>
      <c r="B144" s="5" t="s">
        <v>1733</v>
      </c>
      <c r="C144" s="15" t="s">
        <v>1734</v>
      </c>
      <c r="D144" s="27" t="s">
        <v>1735</v>
      </c>
      <c r="E144" s="5">
        <v>13</v>
      </c>
      <c r="F144" s="5">
        <v>541</v>
      </c>
      <c r="G144" s="9" t="s">
        <v>2550</v>
      </c>
      <c r="H144" s="9">
        <v>2018</v>
      </c>
      <c r="I144" s="9">
        <v>0.83</v>
      </c>
      <c r="J144" s="82">
        <v>45127</v>
      </c>
      <c r="K144" s="82">
        <v>45867</v>
      </c>
      <c r="L144" s="81">
        <f t="shared" si="6"/>
        <v>24</v>
      </c>
      <c r="M144" s="5">
        <f t="shared" si="7"/>
        <v>40198.559999999998</v>
      </c>
      <c r="N144" s="5">
        <f t="shared" si="8"/>
        <v>1674.9399999999998</v>
      </c>
      <c r="O144" s="15" t="s">
        <v>1736</v>
      </c>
      <c r="P144" s="5" t="s">
        <v>1737</v>
      </c>
      <c r="Q144" s="5" t="s">
        <v>2555</v>
      </c>
      <c r="R144" s="38"/>
    </row>
    <row r="145" spans="1:18">
      <c r="A145" s="5">
        <v>144</v>
      </c>
      <c r="B145" s="5" t="s">
        <v>1738</v>
      </c>
      <c r="C145" s="15" t="s">
        <v>1739</v>
      </c>
      <c r="D145" s="27" t="s">
        <v>1740</v>
      </c>
      <c r="E145" s="5">
        <v>13</v>
      </c>
      <c r="F145" s="5">
        <v>542</v>
      </c>
      <c r="G145" s="9" t="s">
        <v>2550</v>
      </c>
      <c r="H145" s="9">
        <v>2018</v>
      </c>
      <c r="I145" s="9">
        <v>0.83</v>
      </c>
      <c r="J145" s="82">
        <v>45127</v>
      </c>
      <c r="K145" s="82">
        <v>45867</v>
      </c>
      <c r="L145" s="81">
        <f t="shared" si="6"/>
        <v>24</v>
      </c>
      <c r="M145" s="5">
        <f t="shared" si="7"/>
        <v>40198.559999999998</v>
      </c>
      <c r="N145" s="5">
        <f t="shared" si="8"/>
        <v>1674.9399999999998</v>
      </c>
      <c r="O145" s="28" t="s">
        <v>1741</v>
      </c>
      <c r="P145" s="5" t="s">
        <v>1742</v>
      </c>
      <c r="Q145" s="5" t="s">
        <v>2555</v>
      </c>
      <c r="R145" s="38"/>
    </row>
    <row r="146" spans="1:18" ht="28.8">
      <c r="A146" s="9">
        <v>145</v>
      </c>
      <c r="B146" s="5" t="s">
        <v>1743</v>
      </c>
      <c r="C146" s="15" t="s">
        <v>1744</v>
      </c>
      <c r="D146" s="27" t="s">
        <v>1745</v>
      </c>
      <c r="E146" s="5">
        <v>13</v>
      </c>
      <c r="F146" s="5">
        <v>543</v>
      </c>
      <c r="G146" s="9" t="s">
        <v>2550</v>
      </c>
      <c r="H146" s="9">
        <v>2018</v>
      </c>
      <c r="I146" s="9">
        <v>0.83</v>
      </c>
      <c r="J146" s="82">
        <v>45127</v>
      </c>
      <c r="K146" s="82">
        <v>45867</v>
      </c>
      <c r="L146" s="81">
        <f t="shared" si="6"/>
        <v>24</v>
      </c>
      <c r="M146" s="5">
        <f t="shared" si="7"/>
        <v>40198.559999999998</v>
      </c>
      <c r="N146" s="5">
        <f t="shared" si="8"/>
        <v>1674.9399999999998</v>
      </c>
      <c r="O146" s="15" t="s">
        <v>1746</v>
      </c>
      <c r="P146" s="5" t="s">
        <v>1747</v>
      </c>
      <c r="Q146" s="5" t="s">
        <v>2555</v>
      </c>
      <c r="R146" s="38"/>
    </row>
    <row r="147" spans="1:18">
      <c r="A147" s="5">
        <v>146</v>
      </c>
      <c r="B147" s="5" t="s">
        <v>1748</v>
      </c>
      <c r="C147" s="15" t="s">
        <v>1749</v>
      </c>
      <c r="D147" s="27" t="s">
        <v>1750</v>
      </c>
      <c r="E147" s="5">
        <v>21</v>
      </c>
      <c r="F147" s="5">
        <v>544</v>
      </c>
      <c r="G147" s="9" t="s">
        <v>2550</v>
      </c>
      <c r="H147" s="9">
        <v>2018</v>
      </c>
      <c r="I147" s="9">
        <v>0.83</v>
      </c>
      <c r="J147" s="82">
        <v>45127</v>
      </c>
      <c r="K147" s="82">
        <v>45867</v>
      </c>
      <c r="L147" s="81">
        <f t="shared" si="6"/>
        <v>24</v>
      </c>
      <c r="M147" s="5">
        <f t="shared" si="7"/>
        <v>40198.559999999998</v>
      </c>
      <c r="N147" s="5">
        <f t="shared" si="8"/>
        <v>1674.9399999999998</v>
      </c>
      <c r="O147" s="15" t="s">
        <v>1751</v>
      </c>
      <c r="P147" s="5" t="s">
        <v>1752</v>
      </c>
      <c r="Q147" s="5" t="s">
        <v>2555</v>
      </c>
      <c r="R147" s="38"/>
    </row>
    <row r="148" spans="1:18">
      <c r="A148" s="5">
        <v>147</v>
      </c>
      <c r="B148" s="5" t="s">
        <v>1753</v>
      </c>
      <c r="C148" s="15" t="s">
        <v>1754</v>
      </c>
      <c r="D148" s="27" t="s">
        <v>1755</v>
      </c>
      <c r="E148" s="5">
        <v>21</v>
      </c>
      <c r="F148" s="5">
        <v>545</v>
      </c>
      <c r="G148" s="9" t="s">
        <v>2550</v>
      </c>
      <c r="H148" s="9">
        <v>2018</v>
      </c>
      <c r="I148" s="9">
        <v>0.83</v>
      </c>
      <c r="J148" s="82">
        <v>45127</v>
      </c>
      <c r="K148" s="82">
        <v>45867</v>
      </c>
      <c r="L148" s="81">
        <f t="shared" si="6"/>
        <v>24</v>
      </c>
      <c r="M148" s="5">
        <f t="shared" si="7"/>
        <v>40198.559999999998</v>
      </c>
      <c r="N148" s="5">
        <f t="shared" si="8"/>
        <v>1674.9399999999998</v>
      </c>
      <c r="O148" s="15" t="s">
        <v>1756</v>
      </c>
      <c r="P148" s="5" t="s">
        <v>1757</v>
      </c>
      <c r="Q148" s="5" t="s">
        <v>2555</v>
      </c>
      <c r="R148" s="38"/>
    </row>
    <row r="149" spans="1:18">
      <c r="A149" s="9">
        <v>148</v>
      </c>
      <c r="B149" s="5" t="s">
        <v>1758</v>
      </c>
      <c r="C149" s="15" t="s">
        <v>1759</v>
      </c>
      <c r="D149" s="27" t="s">
        <v>1760</v>
      </c>
      <c r="E149" s="5">
        <v>21</v>
      </c>
      <c r="F149" s="5">
        <v>546</v>
      </c>
      <c r="G149" s="9" t="s">
        <v>2550</v>
      </c>
      <c r="H149" s="9">
        <v>2018</v>
      </c>
      <c r="I149" s="9">
        <v>0.83</v>
      </c>
      <c r="J149" s="82">
        <v>45127</v>
      </c>
      <c r="K149" s="82">
        <v>45867</v>
      </c>
      <c r="L149" s="81">
        <f t="shared" si="6"/>
        <v>24</v>
      </c>
      <c r="M149" s="5">
        <f t="shared" si="7"/>
        <v>40198.559999999998</v>
      </c>
      <c r="N149" s="5">
        <f t="shared" si="8"/>
        <v>1674.9399999999998</v>
      </c>
      <c r="O149" s="15" t="s">
        <v>1761</v>
      </c>
      <c r="P149" s="5" t="s">
        <v>1762</v>
      </c>
      <c r="Q149" s="5" t="s">
        <v>2557</v>
      </c>
      <c r="R149" s="38"/>
    </row>
    <row r="150" spans="1:18">
      <c r="A150" s="5">
        <v>149</v>
      </c>
      <c r="B150" s="5">
        <v>71064</v>
      </c>
      <c r="C150" s="15" t="s">
        <v>1763</v>
      </c>
      <c r="D150" s="27" t="s">
        <v>1764</v>
      </c>
      <c r="E150" s="5">
        <v>21</v>
      </c>
      <c r="F150" s="5">
        <v>547</v>
      </c>
      <c r="G150" s="9" t="s">
        <v>2550</v>
      </c>
      <c r="H150" s="9">
        <v>2018</v>
      </c>
      <c r="I150" s="9">
        <v>0.83</v>
      </c>
      <c r="J150" s="82">
        <v>45127</v>
      </c>
      <c r="K150" s="82">
        <v>45867</v>
      </c>
      <c r="L150" s="81">
        <f t="shared" si="6"/>
        <v>24</v>
      </c>
      <c r="M150" s="5">
        <f t="shared" si="7"/>
        <v>40198.559999999998</v>
      </c>
      <c r="N150" s="5">
        <f t="shared" si="8"/>
        <v>1674.9399999999998</v>
      </c>
      <c r="O150" s="15" t="s">
        <v>1765</v>
      </c>
      <c r="P150" s="5" t="s">
        <v>1766</v>
      </c>
      <c r="Q150" s="5" t="s">
        <v>2555</v>
      </c>
      <c r="R150" s="38"/>
    </row>
    <row r="151" spans="1:18">
      <c r="A151" s="5">
        <v>150</v>
      </c>
      <c r="B151" s="5">
        <v>71379</v>
      </c>
      <c r="C151" s="15" t="s">
        <v>1767</v>
      </c>
      <c r="D151" s="27" t="s">
        <v>1768</v>
      </c>
      <c r="E151" s="5">
        <v>21</v>
      </c>
      <c r="F151" s="5">
        <v>548</v>
      </c>
      <c r="G151" s="9" t="s">
        <v>2550</v>
      </c>
      <c r="H151" s="9">
        <v>2018</v>
      </c>
      <c r="I151" s="9">
        <v>0.83</v>
      </c>
      <c r="J151" s="82">
        <v>45127</v>
      </c>
      <c r="K151" s="82">
        <v>45867</v>
      </c>
      <c r="L151" s="81">
        <f t="shared" si="6"/>
        <v>24</v>
      </c>
      <c r="M151" s="5">
        <f t="shared" si="7"/>
        <v>40198.559999999998</v>
      </c>
      <c r="N151" s="5">
        <f t="shared" si="8"/>
        <v>1674.9399999999998</v>
      </c>
      <c r="O151" s="15" t="s">
        <v>1769</v>
      </c>
      <c r="P151" s="5" t="s">
        <v>1770</v>
      </c>
      <c r="Q151" s="5" t="s">
        <v>2555</v>
      </c>
      <c r="R151" s="38"/>
    </row>
    <row r="152" spans="1:18">
      <c r="A152" s="9">
        <v>151</v>
      </c>
      <c r="B152" s="5">
        <v>71362</v>
      </c>
      <c r="C152" s="15" t="s">
        <v>1771</v>
      </c>
      <c r="D152" s="27" t="s">
        <v>1772</v>
      </c>
      <c r="E152" s="5">
        <v>21</v>
      </c>
      <c r="F152" s="5">
        <v>549</v>
      </c>
      <c r="G152" s="9" t="s">
        <v>2550</v>
      </c>
      <c r="H152" s="9">
        <v>2018</v>
      </c>
      <c r="I152" s="9">
        <v>0.83</v>
      </c>
      <c r="J152" s="82">
        <v>45127</v>
      </c>
      <c r="K152" s="82">
        <v>45867</v>
      </c>
      <c r="L152" s="81">
        <f t="shared" si="6"/>
        <v>24</v>
      </c>
      <c r="M152" s="5">
        <f t="shared" si="7"/>
        <v>40198.559999999998</v>
      </c>
      <c r="N152" s="5">
        <f t="shared" si="8"/>
        <v>1674.9399999999998</v>
      </c>
      <c r="O152" s="15" t="s">
        <v>1773</v>
      </c>
      <c r="P152" s="5" t="s">
        <v>1774</v>
      </c>
      <c r="Q152" s="5" t="s">
        <v>2555</v>
      </c>
      <c r="R152" s="38"/>
    </row>
    <row r="153" spans="1:18">
      <c r="A153" s="5">
        <v>152</v>
      </c>
      <c r="B153" s="5" t="s">
        <v>1775</v>
      </c>
      <c r="C153" s="15" t="s">
        <v>1776</v>
      </c>
      <c r="D153" s="27" t="s">
        <v>1777</v>
      </c>
      <c r="E153" s="5">
        <v>21</v>
      </c>
      <c r="F153" s="5">
        <v>550</v>
      </c>
      <c r="G153" s="9" t="s">
        <v>2550</v>
      </c>
      <c r="H153" s="9">
        <v>2018</v>
      </c>
      <c r="I153" s="9">
        <v>0.83</v>
      </c>
      <c r="J153" s="82">
        <v>45127</v>
      </c>
      <c r="K153" s="82">
        <v>45867</v>
      </c>
      <c r="L153" s="81">
        <f t="shared" si="6"/>
        <v>24</v>
      </c>
      <c r="M153" s="5">
        <f t="shared" si="7"/>
        <v>40198.559999999998</v>
      </c>
      <c r="N153" s="5">
        <f t="shared" si="8"/>
        <v>1674.9399999999998</v>
      </c>
      <c r="O153" s="15" t="s">
        <v>1778</v>
      </c>
      <c r="P153" s="5" t="s">
        <v>1779</v>
      </c>
      <c r="Q153" s="5" t="s">
        <v>2557</v>
      </c>
      <c r="R153" s="38"/>
    </row>
    <row r="154" spans="1:18">
      <c r="A154" s="5">
        <v>153</v>
      </c>
      <c r="B154" s="5">
        <v>71096</v>
      </c>
      <c r="C154" s="15" t="s">
        <v>1780</v>
      </c>
      <c r="D154" s="27" t="s">
        <v>1781</v>
      </c>
      <c r="E154" s="5">
        <v>21</v>
      </c>
      <c r="F154" s="5">
        <v>551</v>
      </c>
      <c r="G154" s="9" t="s">
        <v>2550</v>
      </c>
      <c r="H154" s="9">
        <v>2018</v>
      </c>
      <c r="I154" s="9">
        <v>0.83</v>
      </c>
      <c r="J154" s="82">
        <v>45127</v>
      </c>
      <c r="K154" s="82">
        <v>45867</v>
      </c>
      <c r="L154" s="81">
        <f t="shared" si="6"/>
        <v>24</v>
      </c>
      <c r="M154" s="5">
        <f t="shared" si="7"/>
        <v>40198.559999999998</v>
      </c>
      <c r="N154" s="5">
        <f t="shared" si="8"/>
        <v>1674.9399999999998</v>
      </c>
      <c r="O154" s="15" t="s">
        <v>1782</v>
      </c>
      <c r="P154" s="5" t="s">
        <v>688</v>
      </c>
      <c r="Q154" s="5" t="s">
        <v>2555</v>
      </c>
      <c r="R154" s="38"/>
    </row>
    <row r="155" spans="1:18">
      <c r="A155" s="9">
        <v>154</v>
      </c>
      <c r="B155" s="5">
        <v>71201</v>
      </c>
      <c r="C155" s="15" t="s">
        <v>1783</v>
      </c>
      <c r="D155" s="27" t="s">
        <v>1784</v>
      </c>
      <c r="E155" s="5">
        <v>21</v>
      </c>
      <c r="F155" s="5">
        <v>552</v>
      </c>
      <c r="G155" s="9" t="s">
        <v>2550</v>
      </c>
      <c r="H155" s="9">
        <v>2018</v>
      </c>
      <c r="I155" s="9">
        <v>0.83</v>
      </c>
      <c r="J155" s="82">
        <v>45127</v>
      </c>
      <c r="K155" s="82">
        <v>45867</v>
      </c>
      <c r="L155" s="81">
        <f t="shared" si="6"/>
        <v>24</v>
      </c>
      <c r="M155" s="5">
        <f t="shared" si="7"/>
        <v>40198.559999999998</v>
      </c>
      <c r="N155" s="5">
        <f t="shared" si="8"/>
        <v>1674.9399999999998</v>
      </c>
      <c r="O155" s="15" t="s">
        <v>1785</v>
      </c>
      <c r="P155" s="5" t="s">
        <v>1786</v>
      </c>
      <c r="Q155" s="5" t="s">
        <v>2555</v>
      </c>
      <c r="R155" s="38"/>
    </row>
    <row r="156" spans="1:18">
      <c r="A156" s="5">
        <v>155</v>
      </c>
      <c r="B156" s="5">
        <v>71239</v>
      </c>
      <c r="C156" s="15" t="s">
        <v>1787</v>
      </c>
      <c r="D156" s="27" t="s">
        <v>1788</v>
      </c>
      <c r="E156" s="5">
        <v>21</v>
      </c>
      <c r="F156" s="5">
        <v>553</v>
      </c>
      <c r="G156" s="9" t="s">
        <v>2550</v>
      </c>
      <c r="H156" s="9">
        <v>2018</v>
      </c>
      <c r="I156" s="9">
        <v>0.83</v>
      </c>
      <c r="J156" s="82">
        <v>45127</v>
      </c>
      <c r="K156" s="82">
        <v>45867</v>
      </c>
      <c r="L156" s="81">
        <f t="shared" si="6"/>
        <v>24</v>
      </c>
      <c r="M156" s="5">
        <f t="shared" si="7"/>
        <v>40198.559999999998</v>
      </c>
      <c r="N156" s="5">
        <f t="shared" si="8"/>
        <v>1674.9399999999998</v>
      </c>
      <c r="O156" s="15" t="s">
        <v>1789</v>
      </c>
      <c r="P156" s="5" t="s">
        <v>1790</v>
      </c>
      <c r="Q156" s="5" t="s">
        <v>2555</v>
      </c>
      <c r="R156" s="38"/>
    </row>
    <row r="157" spans="1:18">
      <c r="A157" s="5">
        <v>156</v>
      </c>
      <c r="B157" s="5">
        <v>71279</v>
      </c>
      <c r="C157" s="15" t="s">
        <v>1791</v>
      </c>
      <c r="D157" s="27" t="s">
        <v>1792</v>
      </c>
      <c r="E157" s="5">
        <v>21</v>
      </c>
      <c r="F157" s="5">
        <v>554</v>
      </c>
      <c r="G157" s="9" t="s">
        <v>2550</v>
      </c>
      <c r="H157" s="9">
        <v>2018</v>
      </c>
      <c r="I157" s="9">
        <v>0.83</v>
      </c>
      <c r="J157" s="82">
        <v>45127</v>
      </c>
      <c r="K157" s="82">
        <v>45867</v>
      </c>
      <c r="L157" s="81">
        <f t="shared" si="6"/>
        <v>24</v>
      </c>
      <c r="M157" s="5">
        <f t="shared" si="7"/>
        <v>40198.559999999998</v>
      </c>
      <c r="N157" s="5">
        <f t="shared" si="8"/>
        <v>1674.9399999999998</v>
      </c>
      <c r="O157" s="15" t="s">
        <v>1793</v>
      </c>
      <c r="P157" s="5"/>
      <c r="Q157" s="5" t="s">
        <v>2555</v>
      </c>
      <c r="R157" s="38"/>
    </row>
    <row r="158" spans="1:18">
      <c r="A158" s="9">
        <v>157</v>
      </c>
      <c r="B158" s="5" t="s">
        <v>1794</v>
      </c>
      <c r="C158" s="15" t="s">
        <v>1795</v>
      </c>
      <c r="D158" s="27" t="s">
        <v>1796</v>
      </c>
      <c r="E158" s="5">
        <v>21</v>
      </c>
      <c r="F158" s="5">
        <v>555</v>
      </c>
      <c r="G158" s="9" t="s">
        <v>2550</v>
      </c>
      <c r="H158" s="9">
        <v>2018</v>
      </c>
      <c r="I158" s="9">
        <v>0.83</v>
      </c>
      <c r="J158" s="82">
        <v>45127</v>
      </c>
      <c r="K158" s="82">
        <v>45867</v>
      </c>
      <c r="L158" s="81">
        <f t="shared" si="6"/>
        <v>24</v>
      </c>
      <c r="M158" s="5">
        <f t="shared" si="7"/>
        <v>40198.559999999998</v>
      </c>
      <c r="N158" s="5">
        <f t="shared" si="8"/>
        <v>1674.9399999999998</v>
      </c>
      <c r="O158" s="15" t="s">
        <v>1797</v>
      </c>
      <c r="P158" s="5" t="s">
        <v>1798</v>
      </c>
      <c r="Q158" s="5" t="s">
        <v>2555</v>
      </c>
      <c r="R158" s="38"/>
    </row>
    <row r="159" spans="1:18" ht="57.6">
      <c r="A159" s="57">
        <v>158</v>
      </c>
      <c r="B159" s="57" t="s">
        <v>1799</v>
      </c>
      <c r="C159" s="58" t="s">
        <v>1800</v>
      </c>
      <c r="D159" s="59" t="s">
        <v>1801</v>
      </c>
      <c r="E159" s="57">
        <v>21</v>
      </c>
      <c r="F159" s="57">
        <v>556</v>
      </c>
      <c r="G159" s="68" t="s">
        <v>2550</v>
      </c>
      <c r="H159" s="9">
        <v>2018</v>
      </c>
      <c r="I159" s="9">
        <v>0.83</v>
      </c>
      <c r="J159" s="82">
        <v>45127</v>
      </c>
      <c r="K159" s="82">
        <v>45867</v>
      </c>
      <c r="L159" s="81">
        <f t="shared" si="6"/>
        <v>24</v>
      </c>
      <c r="M159" s="5">
        <f t="shared" si="7"/>
        <v>40198.559999999998</v>
      </c>
      <c r="N159" s="5">
        <f t="shared" si="8"/>
        <v>1674.9399999999998</v>
      </c>
      <c r="O159" s="63" t="s">
        <v>1802</v>
      </c>
      <c r="P159" s="57" t="s">
        <v>1803</v>
      </c>
      <c r="Q159" s="57" t="s">
        <v>2557</v>
      </c>
      <c r="R159" s="60"/>
    </row>
    <row r="160" spans="1:18" ht="28.8">
      <c r="A160" s="5">
        <v>159</v>
      </c>
      <c r="B160" s="5" t="s">
        <v>1804</v>
      </c>
      <c r="C160" s="15" t="s">
        <v>1805</v>
      </c>
      <c r="D160" s="27" t="s">
        <v>1806</v>
      </c>
      <c r="E160" s="5">
        <v>21</v>
      </c>
      <c r="F160" s="5">
        <v>557</v>
      </c>
      <c r="G160" s="9" t="s">
        <v>2550</v>
      </c>
      <c r="H160" s="9">
        <v>2018</v>
      </c>
      <c r="I160" s="9">
        <v>0.83</v>
      </c>
      <c r="J160" s="82">
        <v>45127</v>
      </c>
      <c r="K160" s="82">
        <v>45867</v>
      </c>
      <c r="L160" s="81">
        <f t="shared" si="6"/>
        <v>24</v>
      </c>
      <c r="M160" s="5">
        <f t="shared" si="7"/>
        <v>40198.559999999998</v>
      </c>
      <c r="N160" s="5">
        <f t="shared" si="8"/>
        <v>1674.9399999999998</v>
      </c>
      <c r="O160" s="15" t="s">
        <v>1807</v>
      </c>
      <c r="P160" s="5" t="s">
        <v>1808</v>
      </c>
      <c r="Q160" s="5" t="s">
        <v>2555</v>
      </c>
      <c r="R160" s="38"/>
    </row>
    <row r="161" spans="1:18">
      <c r="A161" s="9">
        <v>160</v>
      </c>
      <c r="B161" s="5" t="s">
        <v>1809</v>
      </c>
      <c r="C161" s="15" t="s">
        <v>1810</v>
      </c>
      <c r="D161" s="27" t="s">
        <v>1811</v>
      </c>
      <c r="E161" s="5">
        <v>21</v>
      </c>
      <c r="F161" s="5">
        <v>558</v>
      </c>
      <c r="G161" s="9" t="s">
        <v>2550</v>
      </c>
      <c r="H161" s="9">
        <v>2018</v>
      </c>
      <c r="I161" s="9">
        <v>0.83</v>
      </c>
      <c r="J161" s="82">
        <v>45127</v>
      </c>
      <c r="K161" s="82">
        <v>45867</v>
      </c>
      <c r="L161" s="81">
        <f t="shared" si="6"/>
        <v>24</v>
      </c>
      <c r="M161" s="5">
        <f t="shared" si="7"/>
        <v>40198.559999999998</v>
      </c>
      <c r="N161" s="5">
        <f t="shared" si="8"/>
        <v>1674.9399999999998</v>
      </c>
      <c r="O161" s="28" t="s">
        <v>1812</v>
      </c>
      <c r="P161" s="5" t="s">
        <v>1813</v>
      </c>
      <c r="Q161" s="5" t="s">
        <v>2557</v>
      </c>
      <c r="R161" s="38"/>
    </row>
    <row r="162" spans="1:18">
      <c r="A162" s="5">
        <v>161</v>
      </c>
      <c r="B162" s="5" t="s">
        <v>1814</v>
      </c>
      <c r="C162" s="15" t="s">
        <v>1815</v>
      </c>
      <c r="D162" s="27" t="s">
        <v>1816</v>
      </c>
      <c r="E162" s="5">
        <v>21</v>
      </c>
      <c r="F162" s="5">
        <v>559</v>
      </c>
      <c r="G162" s="9" t="s">
        <v>2550</v>
      </c>
      <c r="H162" s="9">
        <v>2018</v>
      </c>
      <c r="I162" s="9">
        <v>0.83</v>
      </c>
      <c r="J162" s="82">
        <v>45127</v>
      </c>
      <c r="K162" s="82">
        <v>45867</v>
      </c>
      <c r="L162" s="81">
        <f t="shared" si="6"/>
        <v>24</v>
      </c>
      <c r="M162" s="5">
        <f t="shared" si="7"/>
        <v>40198.559999999998</v>
      </c>
      <c r="N162" s="5">
        <f t="shared" si="8"/>
        <v>1674.9399999999998</v>
      </c>
      <c r="O162" s="28" t="s">
        <v>1817</v>
      </c>
      <c r="P162" s="5" t="s">
        <v>1818</v>
      </c>
      <c r="Q162" s="5" t="s">
        <v>2555</v>
      </c>
      <c r="R162" s="38"/>
    </row>
    <row r="163" spans="1:18" ht="28.8">
      <c r="A163" s="5">
        <v>162</v>
      </c>
      <c r="B163" s="5" t="s">
        <v>1819</v>
      </c>
      <c r="C163" s="15" t="s">
        <v>1820</v>
      </c>
      <c r="D163" s="27" t="s">
        <v>1821</v>
      </c>
      <c r="E163" s="5">
        <v>21</v>
      </c>
      <c r="F163" s="5">
        <v>560</v>
      </c>
      <c r="G163" s="9" t="s">
        <v>2550</v>
      </c>
      <c r="H163" s="9">
        <v>2018</v>
      </c>
      <c r="I163" s="9">
        <v>0.83</v>
      </c>
      <c r="J163" s="82">
        <v>45127</v>
      </c>
      <c r="K163" s="82">
        <v>45867</v>
      </c>
      <c r="L163" s="81">
        <f t="shared" si="6"/>
        <v>24</v>
      </c>
      <c r="M163" s="5">
        <f t="shared" si="7"/>
        <v>40198.559999999998</v>
      </c>
      <c r="N163" s="5">
        <f t="shared" si="8"/>
        <v>1674.9399999999998</v>
      </c>
      <c r="O163" s="15" t="s">
        <v>1822</v>
      </c>
      <c r="P163" s="5" t="s">
        <v>1823</v>
      </c>
      <c r="Q163" s="5" t="s">
        <v>2555</v>
      </c>
      <c r="R163" s="38"/>
    </row>
    <row r="164" spans="1:18" ht="28.8">
      <c r="A164" s="9">
        <v>163</v>
      </c>
      <c r="B164" s="5" t="s">
        <v>1824</v>
      </c>
      <c r="C164" s="15" t="s">
        <v>1825</v>
      </c>
      <c r="D164" s="27" t="s">
        <v>1826</v>
      </c>
      <c r="E164" s="5">
        <v>21</v>
      </c>
      <c r="F164" s="5">
        <v>561</v>
      </c>
      <c r="G164" s="9" t="s">
        <v>2550</v>
      </c>
      <c r="H164" s="9">
        <v>2018</v>
      </c>
      <c r="I164" s="9">
        <v>0.83</v>
      </c>
      <c r="J164" s="82">
        <v>45127</v>
      </c>
      <c r="K164" s="82">
        <v>45867</v>
      </c>
      <c r="L164" s="81">
        <f t="shared" si="6"/>
        <v>24</v>
      </c>
      <c r="M164" s="5">
        <f t="shared" si="7"/>
        <v>40198.559999999998</v>
      </c>
      <c r="N164" s="5">
        <f t="shared" si="8"/>
        <v>1674.9399999999998</v>
      </c>
      <c r="O164" s="15" t="s">
        <v>1827</v>
      </c>
      <c r="P164" s="5" t="s">
        <v>1828</v>
      </c>
      <c r="Q164" s="5" t="s">
        <v>2557</v>
      </c>
      <c r="R164" s="38"/>
    </row>
    <row r="165" spans="1:18" ht="86.4">
      <c r="A165" s="57">
        <v>164</v>
      </c>
      <c r="B165" s="57" t="s">
        <v>1829</v>
      </c>
      <c r="C165" s="58" t="s">
        <v>1830</v>
      </c>
      <c r="D165" s="59" t="s">
        <v>1831</v>
      </c>
      <c r="E165" s="57">
        <v>22</v>
      </c>
      <c r="F165" s="57">
        <v>562</v>
      </c>
      <c r="G165" s="68" t="s">
        <v>2550</v>
      </c>
      <c r="H165" s="9">
        <v>2018</v>
      </c>
      <c r="I165" s="9">
        <v>0.83</v>
      </c>
      <c r="J165" s="82">
        <v>45127</v>
      </c>
      <c r="K165" s="82">
        <v>45867</v>
      </c>
      <c r="L165" s="81">
        <f t="shared" si="6"/>
        <v>24</v>
      </c>
      <c r="M165" s="5">
        <f t="shared" si="7"/>
        <v>40198.559999999998</v>
      </c>
      <c r="N165" s="5">
        <f t="shared" si="8"/>
        <v>1674.9399999999998</v>
      </c>
      <c r="O165" s="58" t="s">
        <v>1832</v>
      </c>
      <c r="P165" s="57" t="s">
        <v>1833</v>
      </c>
      <c r="Q165" s="5" t="s">
        <v>2554</v>
      </c>
      <c r="R165" s="60"/>
    </row>
    <row r="166" spans="1:18">
      <c r="A166" s="5">
        <v>165</v>
      </c>
      <c r="B166" s="5">
        <v>71063</v>
      </c>
      <c r="C166" s="15" t="s">
        <v>1834</v>
      </c>
      <c r="D166" s="27" t="s">
        <v>1835</v>
      </c>
      <c r="E166" s="5">
        <v>22</v>
      </c>
      <c r="F166" s="5">
        <v>563</v>
      </c>
      <c r="G166" s="9" t="s">
        <v>2550</v>
      </c>
      <c r="H166" s="9">
        <v>2018</v>
      </c>
      <c r="I166" s="9">
        <v>0.83</v>
      </c>
      <c r="J166" s="82">
        <v>45127</v>
      </c>
      <c r="K166" s="82">
        <v>45867</v>
      </c>
      <c r="L166" s="81">
        <f t="shared" si="6"/>
        <v>24</v>
      </c>
      <c r="M166" s="5">
        <f t="shared" si="7"/>
        <v>40198.559999999998</v>
      </c>
      <c r="N166" s="5">
        <f t="shared" si="8"/>
        <v>1674.9399999999998</v>
      </c>
      <c r="O166" s="15" t="s">
        <v>1836</v>
      </c>
      <c r="P166" s="5" t="s">
        <v>1837</v>
      </c>
      <c r="Q166" s="5" t="s">
        <v>2557</v>
      </c>
      <c r="R166" s="38"/>
    </row>
    <row r="167" spans="1:18">
      <c r="A167" s="9">
        <v>166</v>
      </c>
      <c r="B167" s="5" t="s">
        <v>1838</v>
      </c>
      <c r="C167" s="15" t="s">
        <v>1839</v>
      </c>
      <c r="D167" s="27" t="s">
        <v>1840</v>
      </c>
      <c r="E167" s="5">
        <v>22</v>
      </c>
      <c r="F167" s="5">
        <v>564</v>
      </c>
      <c r="G167" s="9" t="s">
        <v>2550</v>
      </c>
      <c r="H167" s="9">
        <v>2018</v>
      </c>
      <c r="I167" s="9">
        <v>0.83</v>
      </c>
      <c r="J167" s="82">
        <v>45127</v>
      </c>
      <c r="K167" s="82">
        <v>45867</v>
      </c>
      <c r="L167" s="81">
        <f t="shared" si="6"/>
        <v>24</v>
      </c>
      <c r="M167" s="5">
        <f t="shared" si="7"/>
        <v>40198.559999999998</v>
      </c>
      <c r="N167" s="5">
        <f t="shared" si="8"/>
        <v>1674.9399999999998</v>
      </c>
      <c r="O167" s="15" t="s">
        <v>1841</v>
      </c>
      <c r="P167" s="5" t="s">
        <v>1842</v>
      </c>
      <c r="Q167" s="5" t="s">
        <v>2557</v>
      </c>
      <c r="R167" s="38"/>
    </row>
    <row r="168" spans="1:18" ht="28.8">
      <c r="A168" s="5">
        <v>167</v>
      </c>
      <c r="B168" s="5" t="s">
        <v>2510</v>
      </c>
      <c r="C168" s="15" t="s">
        <v>2509</v>
      </c>
      <c r="D168" s="27" t="s">
        <v>2511</v>
      </c>
      <c r="E168" s="5">
        <v>22</v>
      </c>
      <c r="F168" s="5">
        <v>565</v>
      </c>
      <c r="G168" s="9" t="s">
        <v>2550</v>
      </c>
      <c r="H168" s="9">
        <v>2018</v>
      </c>
      <c r="I168" s="9">
        <v>0.83</v>
      </c>
      <c r="J168" s="82">
        <v>45127</v>
      </c>
      <c r="K168" s="82">
        <v>45867</v>
      </c>
      <c r="L168" s="81">
        <f t="shared" si="6"/>
        <v>24</v>
      </c>
      <c r="M168" s="5">
        <f t="shared" si="7"/>
        <v>40198.559999999998</v>
      </c>
      <c r="N168" s="5">
        <f t="shared" si="8"/>
        <v>1674.9399999999998</v>
      </c>
      <c r="O168" s="28" t="s">
        <v>2512</v>
      </c>
      <c r="P168" s="5" t="s">
        <v>2513</v>
      </c>
      <c r="Q168" s="5" t="s">
        <v>2555</v>
      </c>
      <c r="R168" s="38"/>
    </row>
    <row r="169" spans="1:18" ht="28.8">
      <c r="A169" s="5">
        <v>168</v>
      </c>
      <c r="B169" s="5" t="s">
        <v>1843</v>
      </c>
      <c r="C169" s="15" t="s">
        <v>1844</v>
      </c>
      <c r="D169" s="27" t="s">
        <v>1845</v>
      </c>
      <c r="E169" s="5">
        <v>22</v>
      </c>
      <c r="F169" s="5">
        <v>566</v>
      </c>
      <c r="G169" s="9" t="s">
        <v>2550</v>
      </c>
      <c r="H169" s="9">
        <v>2018</v>
      </c>
      <c r="I169" s="9">
        <v>0.83</v>
      </c>
      <c r="J169" s="82">
        <v>45127</v>
      </c>
      <c r="K169" s="82">
        <v>45867</v>
      </c>
      <c r="L169" s="81">
        <f t="shared" si="6"/>
        <v>24</v>
      </c>
      <c r="M169" s="5">
        <f t="shared" si="7"/>
        <v>40198.559999999998</v>
      </c>
      <c r="N169" s="5">
        <f t="shared" si="8"/>
        <v>1674.9399999999998</v>
      </c>
      <c r="O169" s="28" t="s">
        <v>1846</v>
      </c>
      <c r="P169" s="5" t="s">
        <v>1847</v>
      </c>
      <c r="Q169" s="5" t="s">
        <v>2555</v>
      </c>
      <c r="R169" s="38"/>
    </row>
    <row r="170" spans="1:18">
      <c r="A170" s="9">
        <v>169</v>
      </c>
      <c r="B170" s="5" t="s">
        <v>1848</v>
      </c>
      <c r="C170" s="15" t="s">
        <v>1849</v>
      </c>
      <c r="D170" s="27" t="s">
        <v>1850</v>
      </c>
      <c r="E170" s="5">
        <v>22</v>
      </c>
      <c r="F170" s="5">
        <v>567</v>
      </c>
      <c r="G170" s="9" t="s">
        <v>2550</v>
      </c>
      <c r="H170" s="9">
        <v>2018</v>
      </c>
      <c r="I170" s="9">
        <v>0.83</v>
      </c>
      <c r="J170" s="82">
        <v>45127</v>
      </c>
      <c r="K170" s="82">
        <v>45867</v>
      </c>
      <c r="L170" s="81">
        <f t="shared" si="6"/>
        <v>24</v>
      </c>
      <c r="M170" s="5">
        <f t="shared" si="7"/>
        <v>40198.559999999998</v>
      </c>
      <c r="N170" s="5">
        <f t="shared" si="8"/>
        <v>1674.9399999999998</v>
      </c>
      <c r="O170" s="28" t="s">
        <v>1851</v>
      </c>
      <c r="P170" s="5" t="s">
        <v>1852</v>
      </c>
      <c r="Q170" s="5" t="s">
        <v>2555</v>
      </c>
      <c r="R170" s="38"/>
    </row>
    <row r="171" spans="1:18">
      <c r="A171" s="5">
        <v>170</v>
      </c>
      <c r="B171" s="5">
        <v>71230</v>
      </c>
      <c r="C171" s="15" t="s">
        <v>1853</v>
      </c>
      <c r="D171" s="27" t="s">
        <v>1854</v>
      </c>
      <c r="E171" s="5">
        <v>22</v>
      </c>
      <c r="F171" s="5">
        <v>568</v>
      </c>
      <c r="G171" s="9" t="s">
        <v>2550</v>
      </c>
      <c r="H171" s="9">
        <v>2018</v>
      </c>
      <c r="I171" s="9">
        <v>0.83</v>
      </c>
      <c r="J171" s="82">
        <v>45127</v>
      </c>
      <c r="K171" s="82">
        <v>45867</v>
      </c>
      <c r="L171" s="81">
        <f t="shared" si="6"/>
        <v>24</v>
      </c>
      <c r="M171" s="5">
        <f t="shared" si="7"/>
        <v>40198.559999999998</v>
      </c>
      <c r="N171" s="5">
        <f t="shared" si="8"/>
        <v>1674.9399999999998</v>
      </c>
      <c r="O171" s="15" t="s">
        <v>967</v>
      </c>
      <c r="P171" s="5" t="s">
        <v>1855</v>
      </c>
      <c r="Q171" s="5" t="s">
        <v>2555</v>
      </c>
      <c r="R171" s="38"/>
    </row>
    <row r="172" spans="1:18">
      <c r="A172" s="5">
        <v>171</v>
      </c>
      <c r="B172" s="5" t="s">
        <v>1856</v>
      </c>
      <c r="C172" s="15" t="s">
        <v>1147</v>
      </c>
      <c r="D172" s="27" t="s">
        <v>1148</v>
      </c>
      <c r="E172" s="5">
        <v>22</v>
      </c>
      <c r="F172" s="5">
        <v>569</v>
      </c>
      <c r="G172" s="9" t="s">
        <v>2550</v>
      </c>
      <c r="H172" s="9">
        <v>2018</v>
      </c>
      <c r="I172" s="9">
        <v>0.83</v>
      </c>
      <c r="J172" s="82">
        <v>45127</v>
      </c>
      <c r="K172" s="82">
        <v>45867</v>
      </c>
      <c r="L172" s="81">
        <f t="shared" si="6"/>
        <v>24</v>
      </c>
      <c r="M172" s="5">
        <f t="shared" si="7"/>
        <v>40198.559999999998</v>
      </c>
      <c r="N172" s="5">
        <f t="shared" si="8"/>
        <v>1674.9399999999998</v>
      </c>
      <c r="O172" s="15" t="s">
        <v>1857</v>
      </c>
      <c r="P172" s="5" t="s">
        <v>1150</v>
      </c>
      <c r="Q172" s="5" t="s">
        <v>2557</v>
      </c>
      <c r="R172" s="38"/>
    </row>
    <row r="173" spans="1:18">
      <c r="A173" s="9">
        <v>172</v>
      </c>
      <c r="B173" s="5" t="s">
        <v>1858</v>
      </c>
      <c r="C173" s="15" t="s">
        <v>1859</v>
      </c>
      <c r="D173" s="27" t="s">
        <v>1860</v>
      </c>
      <c r="E173" s="5">
        <v>22</v>
      </c>
      <c r="F173" s="5">
        <v>570</v>
      </c>
      <c r="G173" s="9" t="s">
        <v>2550</v>
      </c>
      <c r="H173" s="9">
        <v>2018</v>
      </c>
      <c r="I173" s="9">
        <v>0.83</v>
      </c>
      <c r="J173" s="82">
        <v>45127</v>
      </c>
      <c r="K173" s="82">
        <v>45867</v>
      </c>
      <c r="L173" s="81">
        <f t="shared" si="6"/>
        <v>24</v>
      </c>
      <c r="M173" s="5">
        <f t="shared" si="7"/>
        <v>40198.559999999998</v>
      </c>
      <c r="N173" s="5">
        <f t="shared" si="8"/>
        <v>1674.9399999999998</v>
      </c>
      <c r="O173" s="15" t="s">
        <v>2532</v>
      </c>
      <c r="P173" s="5" t="s">
        <v>1861</v>
      </c>
      <c r="Q173" s="5" t="s">
        <v>2554</v>
      </c>
      <c r="R173" s="38"/>
    </row>
    <row r="174" spans="1:18">
      <c r="A174" s="5">
        <v>173</v>
      </c>
      <c r="B174" s="5">
        <v>71081</v>
      </c>
      <c r="C174" s="15" t="s">
        <v>1862</v>
      </c>
      <c r="D174" s="27" t="s">
        <v>1863</v>
      </c>
      <c r="E174" s="5">
        <v>22</v>
      </c>
      <c r="F174" s="5">
        <v>571</v>
      </c>
      <c r="G174" s="9" t="s">
        <v>2550</v>
      </c>
      <c r="H174" s="9">
        <v>2018</v>
      </c>
      <c r="I174" s="9">
        <v>0.83</v>
      </c>
      <c r="J174" s="82">
        <v>45127</v>
      </c>
      <c r="K174" s="82">
        <v>45867</v>
      </c>
      <c r="L174" s="81">
        <f t="shared" si="6"/>
        <v>24</v>
      </c>
      <c r="M174" s="5">
        <f t="shared" si="7"/>
        <v>40198.559999999998</v>
      </c>
      <c r="N174" s="5">
        <f t="shared" si="8"/>
        <v>1674.9399999999998</v>
      </c>
      <c r="O174" s="15" t="s">
        <v>1864</v>
      </c>
      <c r="P174" s="5" t="s">
        <v>1865</v>
      </c>
      <c r="Q174" s="5" t="s">
        <v>2557</v>
      </c>
      <c r="R174" s="38"/>
    </row>
    <row r="175" spans="1:18">
      <c r="A175" s="5">
        <v>174</v>
      </c>
      <c r="B175" s="5" t="s">
        <v>1866</v>
      </c>
      <c r="C175" s="15" t="s">
        <v>1867</v>
      </c>
      <c r="D175" s="27" t="s">
        <v>1868</v>
      </c>
      <c r="E175" s="5">
        <v>22</v>
      </c>
      <c r="F175" s="5">
        <v>572</v>
      </c>
      <c r="G175" s="9" t="s">
        <v>2550</v>
      </c>
      <c r="H175" s="9">
        <v>2018</v>
      </c>
      <c r="I175" s="9">
        <v>0.83</v>
      </c>
      <c r="J175" s="82">
        <v>45127</v>
      </c>
      <c r="K175" s="82">
        <v>45867</v>
      </c>
      <c r="L175" s="81">
        <f t="shared" si="6"/>
        <v>24</v>
      </c>
      <c r="M175" s="5">
        <f t="shared" si="7"/>
        <v>40198.559999999998</v>
      </c>
      <c r="N175" s="5">
        <f t="shared" si="8"/>
        <v>1674.9399999999998</v>
      </c>
      <c r="O175" s="15" t="s">
        <v>1869</v>
      </c>
      <c r="P175" s="5" t="s">
        <v>1870</v>
      </c>
      <c r="Q175" s="5" t="s">
        <v>2555</v>
      </c>
      <c r="R175" s="38"/>
    </row>
    <row r="176" spans="1:18">
      <c r="A176" s="9">
        <v>175</v>
      </c>
      <c r="B176" s="5">
        <v>71229</v>
      </c>
      <c r="C176" s="15" t="s">
        <v>1853</v>
      </c>
      <c r="D176" s="27" t="s">
        <v>1854</v>
      </c>
      <c r="E176" s="5">
        <v>22</v>
      </c>
      <c r="F176" s="5">
        <v>573</v>
      </c>
      <c r="G176" s="9" t="s">
        <v>2550</v>
      </c>
      <c r="H176" s="9">
        <v>2018</v>
      </c>
      <c r="I176" s="9">
        <v>0.83</v>
      </c>
      <c r="J176" s="82">
        <v>45127</v>
      </c>
      <c r="K176" s="82">
        <v>45867</v>
      </c>
      <c r="L176" s="81">
        <f t="shared" si="6"/>
        <v>24</v>
      </c>
      <c r="M176" s="5">
        <f t="shared" si="7"/>
        <v>40198.559999999998</v>
      </c>
      <c r="N176" s="5">
        <f t="shared" si="8"/>
        <v>1674.9399999999998</v>
      </c>
      <c r="O176" s="15" t="s">
        <v>967</v>
      </c>
      <c r="P176" s="5" t="s">
        <v>1855</v>
      </c>
      <c r="Q176" s="5" t="s">
        <v>2555</v>
      </c>
      <c r="R176" s="38"/>
    </row>
    <row r="177" spans="1:18">
      <c r="A177" s="5">
        <v>176</v>
      </c>
      <c r="B177" s="5" t="s">
        <v>1871</v>
      </c>
      <c r="C177" s="15" t="s">
        <v>1872</v>
      </c>
      <c r="D177" s="27" t="s">
        <v>1873</v>
      </c>
      <c r="E177" s="5">
        <v>22</v>
      </c>
      <c r="F177" s="5">
        <v>574</v>
      </c>
      <c r="G177" s="9" t="s">
        <v>2550</v>
      </c>
      <c r="H177" s="9">
        <v>2018</v>
      </c>
      <c r="I177" s="9">
        <v>0.83</v>
      </c>
      <c r="J177" s="82">
        <v>45127</v>
      </c>
      <c r="K177" s="82">
        <v>45867</v>
      </c>
      <c r="L177" s="81">
        <f t="shared" si="6"/>
        <v>24</v>
      </c>
      <c r="M177" s="5">
        <f t="shared" si="7"/>
        <v>40198.559999999998</v>
      </c>
      <c r="N177" s="5">
        <f t="shared" si="8"/>
        <v>1674.9399999999998</v>
      </c>
      <c r="O177" s="15" t="s">
        <v>1874</v>
      </c>
      <c r="P177" s="5" t="s">
        <v>1875</v>
      </c>
      <c r="Q177" s="5" t="s">
        <v>2554</v>
      </c>
      <c r="R177" s="38"/>
    </row>
    <row r="178" spans="1:18" ht="28.8">
      <c r="A178" s="5">
        <v>177</v>
      </c>
      <c r="B178" s="5">
        <v>71357</v>
      </c>
      <c r="C178" s="15" t="s">
        <v>1876</v>
      </c>
      <c r="D178" s="27" t="s">
        <v>1877</v>
      </c>
      <c r="E178" s="5">
        <v>22</v>
      </c>
      <c r="F178" s="5">
        <v>575</v>
      </c>
      <c r="G178" s="9" t="s">
        <v>2550</v>
      </c>
      <c r="H178" s="9">
        <v>2018</v>
      </c>
      <c r="I178" s="9">
        <v>0.83</v>
      </c>
      <c r="J178" s="82">
        <v>45127</v>
      </c>
      <c r="K178" s="82">
        <v>45867</v>
      </c>
      <c r="L178" s="81">
        <f t="shared" si="6"/>
        <v>24</v>
      </c>
      <c r="M178" s="5">
        <f t="shared" si="7"/>
        <v>40198.559999999998</v>
      </c>
      <c r="N178" s="5">
        <f t="shared" si="8"/>
        <v>1674.9399999999998</v>
      </c>
      <c r="O178" s="15" t="s">
        <v>1878</v>
      </c>
      <c r="P178" s="5" t="s">
        <v>539</v>
      </c>
      <c r="Q178" s="5" t="s">
        <v>2554</v>
      </c>
      <c r="R178" s="38"/>
    </row>
    <row r="179" spans="1:18">
      <c r="A179" s="9">
        <v>178</v>
      </c>
      <c r="B179" s="5" t="s">
        <v>1879</v>
      </c>
      <c r="C179" s="15" t="s">
        <v>1880</v>
      </c>
      <c r="D179" s="27" t="s">
        <v>1881</v>
      </c>
      <c r="E179" s="5">
        <v>22</v>
      </c>
      <c r="F179" s="5">
        <v>576</v>
      </c>
      <c r="G179" s="9" t="s">
        <v>2550</v>
      </c>
      <c r="H179" s="9">
        <v>2018</v>
      </c>
      <c r="I179" s="9">
        <v>0.83</v>
      </c>
      <c r="J179" s="82">
        <v>45127</v>
      </c>
      <c r="K179" s="82">
        <v>45867</v>
      </c>
      <c r="L179" s="81">
        <f t="shared" si="6"/>
        <v>24</v>
      </c>
      <c r="M179" s="5">
        <f t="shared" si="7"/>
        <v>40198.559999999998</v>
      </c>
      <c r="N179" s="5">
        <f t="shared" si="8"/>
        <v>1674.9399999999998</v>
      </c>
      <c r="O179" s="15" t="s">
        <v>1882</v>
      </c>
      <c r="P179" s="5"/>
      <c r="Q179" s="5" t="s">
        <v>2557</v>
      </c>
      <c r="R179" s="38"/>
    </row>
    <row r="180" spans="1:18" ht="28.8">
      <c r="A180" s="5">
        <v>179</v>
      </c>
      <c r="B180" s="5" t="s">
        <v>2478</v>
      </c>
      <c r="C180" s="15" t="s">
        <v>2494</v>
      </c>
      <c r="D180" s="27" t="s">
        <v>2479</v>
      </c>
      <c r="E180" s="5">
        <v>22</v>
      </c>
      <c r="F180" s="5">
        <v>577</v>
      </c>
      <c r="G180" s="9" t="s">
        <v>2550</v>
      </c>
      <c r="H180" s="9">
        <v>2018</v>
      </c>
      <c r="I180" s="9">
        <v>0.83</v>
      </c>
      <c r="J180" s="82">
        <v>45127</v>
      </c>
      <c r="K180" s="82">
        <v>45867</v>
      </c>
      <c r="L180" s="81">
        <f t="shared" si="6"/>
        <v>24</v>
      </c>
      <c r="M180" s="5">
        <f t="shared" si="7"/>
        <v>40198.559999999998</v>
      </c>
      <c r="N180" s="5">
        <f t="shared" si="8"/>
        <v>1674.9399999999998</v>
      </c>
      <c r="O180" s="42" t="s">
        <v>2493</v>
      </c>
      <c r="P180" s="5" t="s">
        <v>2480</v>
      </c>
      <c r="Q180" s="5" t="s">
        <v>2555</v>
      </c>
      <c r="R180" s="50"/>
    </row>
    <row r="181" spans="1:18" ht="28.8">
      <c r="A181" s="5">
        <v>180</v>
      </c>
      <c r="B181" s="5" t="s">
        <v>1883</v>
      </c>
      <c r="C181" s="15" t="s">
        <v>1884</v>
      </c>
      <c r="D181" s="27" t="s">
        <v>1885</v>
      </c>
      <c r="E181" s="5">
        <v>22</v>
      </c>
      <c r="F181" s="5">
        <v>578</v>
      </c>
      <c r="G181" s="9" t="s">
        <v>2550</v>
      </c>
      <c r="H181" s="9">
        <v>2018</v>
      </c>
      <c r="I181" s="9">
        <v>0.83</v>
      </c>
      <c r="J181" s="82">
        <v>45127</v>
      </c>
      <c r="K181" s="82">
        <v>45867</v>
      </c>
      <c r="L181" s="81">
        <f t="shared" si="6"/>
        <v>24</v>
      </c>
      <c r="M181" s="5">
        <f t="shared" si="7"/>
        <v>40198.559999999998</v>
      </c>
      <c r="N181" s="5">
        <f t="shared" si="8"/>
        <v>1674.9399999999998</v>
      </c>
      <c r="O181" s="28" t="s">
        <v>1886</v>
      </c>
      <c r="P181" s="5" t="s">
        <v>1887</v>
      </c>
      <c r="Q181" s="5" t="s">
        <v>2554</v>
      </c>
      <c r="R181" s="38"/>
    </row>
    <row r="182" spans="1:18" ht="28.8">
      <c r="A182" s="9">
        <v>181</v>
      </c>
      <c r="B182" s="5" t="s">
        <v>1888</v>
      </c>
      <c r="C182" s="15" t="s">
        <v>1889</v>
      </c>
      <c r="D182" s="27" t="s">
        <v>1890</v>
      </c>
      <c r="E182" s="5">
        <v>22</v>
      </c>
      <c r="F182" s="5">
        <v>579</v>
      </c>
      <c r="G182" s="9" t="s">
        <v>2550</v>
      </c>
      <c r="H182" s="9">
        <v>2018</v>
      </c>
      <c r="I182" s="9">
        <v>0.83</v>
      </c>
      <c r="J182" s="82">
        <v>45127</v>
      </c>
      <c r="K182" s="82">
        <v>45867</v>
      </c>
      <c r="L182" s="81">
        <f t="shared" si="6"/>
        <v>24</v>
      </c>
      <c r="M182" s="5">
        <f t="shared" si="7"/>
        <v>40198.559999999998</v>
      </c>
      <c r="N182" s="5">
        <f t="shared" si="8"/>
        <v>1674.9399999999998</v>
      </c>
      <c r="O182" s="15" t="s">
        <v>1891</v>
      </c>
      <c r="P182" s="5" t="s">
        <v>1892</v>
      </c>
      <c r="Q182" s="5" t="s">
        <v>2554</v>
      </c>
      <c r="R182" s="38"/>
    </row>
    <row r="183" spans="1:18">
      <c r="A183" s="5">
        <v>182</v>
      </c>
      <c r="B183" s="5" t="s">
        <v>1893</v>
      </c>
      <c r="C183" s="15" t="s">
        <v>1894</v>
      </c>
      <c r="D183" s="27" t="s">
        <v>1895</v>
      </c>
      <c r="E183" s="5">
        <v>23</v>
      </c>
      <c r="F183" s="5">
        <v>580</v>
      </c>
      <c r="G183" s="9" t="s">
        <v>2550</v>
      </c>
      <c r="H183" s="9">
        <v>2018</v>
      </c>
      <c r="I183" s="9">
        <v>0.83</v>
      </c>
      <c r="J183" s="82">
        <v>45127</v>
      </c>
      <c r="K183" s="82">
        <v>45867</v>
      </c>
      <c r="L183" s="81">
        <f t="shared" si="6"/>
        <v>24</v>
      </c>
      <c r="M183" s="5">
        <f t="shared" si="7"/>
        <v>40198.559999999998</v>
      </c>
      <c r="N183" s="5">
        <f t="shared" si="8"/>
        <v>1674.9399999999998</v>
      </c>
      <c r="O183" s="28" t="s">
        <v>1896</v>
      </c>
      <c r="P183" s="5" t="s">
        <v>1897</v>
      </c>
      <c r="Q183" s="5" t="s">
        <v>2555</v>
      </c>
      <c r="R183" s="38"/>
    </row>
    <row r="184" spans="1:18">
      <c r="A184" s="5">
        <v>183</v>
      </c>
      <c r="B184" s="5">
        <v>71305</v>
      </c>
      <c r="C184" s="15" t="s">
        <v>1898</v>
      </c>
      <c r="D184" s="27" t="s">
        <v>1899</v>
      </c>
      <c r="E184" s="5">
        <v>23</v>
      </c>
      <c r="F184" s="5">
        <v>581</v>
      </c>
      <c r="G184" s="9" t="s">
        <v>2550</v>
      </c>
      <c r="H184" s="9">
        <v>2018</v>
      </c>
      <c r="I184" s="9">
        <v>0.83</v>
      </c>
      <c r="J184" s="82">
        <v>45127</v>
      </c>
      <c r="K184" s="82">
        <v>45867</v>
      </c>
      <c r="L184" s="81">
        <f t="shared" si="6"/>
        <v>24</v>
      </c>
      <c r="M184" s="5">
        <f t="shared" si="7"/>
        <v>40198.559999999998</v>
      </c>
      <c r="N184" s="5">
        <f t="shared" si="8"/>
        <v>1674.9399999999998</v>
      </c>
      <c r="O184" s="15" t="s">
        <v>1900</v>
      </c>
      <c r="P184" s="5"/>
      <c r="Q184" s="5" t="s">
        <v>2555</v>
      </c>
      <c r="R184" s="38"/>
    </row>
    <row r="185" spans="1:18">
      <c r="A185" s="9">
        <v>184</v>
      </c>
      <c r="B185" s="5" t="s">
        <v>1901</v>
      </c>
      <c r="C185" s="15" t="s">
        <v>1902</v>
      </c>
      <c r="D185" s="27" t="s">
        <v>1903</v>
      </c>
      <c r="E185" s="5">
        <v>23</v>
      </c>
      <c r="F185" s="5">
        <v>582</v>
      </c>
      <c r="G185" s="9" t="s">
        <v>2550</v>
      </c>
      <c r="H185" s="9">
        <v>2018</v>
      </c>
      <c r="I185" s="9">
        <v>0.83</v>
      </c>
      <c r="J185" s="82">
        <v>45127</v>
      </c>
      <c r="K185" s="82">
        <v>45867</v>
      </c>
      <c r="L185" s="81">
        <f t="shared" si="6"/>
        <v>24</v>
      </c>
      <c r="M185" s="5">
        <f t="shared" si="7"/>
        <v>40198.559999999998</v>
      </c>
      <c r="N185" s="5">
        <f t="shared" si="8"/>
        <v>1674.9399999999998</v>
      </c>
      <c r="O185" s="15" t="s">
        <v>1904</v>
      </c>
      <c r="P185" s="5" t="s">
        <v>1652</v>
      </c>
      <c r="Q185" s="5" t="s">
        <v>2555</v>
      </c>
      <c r="R185" s="38"/>
    </row>
    <row r="186" spans="1:18">
      <c r="A186" s="5">
        <v>185</v>
      </c>
      <c r="B186" s="5">
        <v>71038</v>
      </c>
      <c r="C186" s="15" t="s">
        <v>1905</v>
      </c>
      <c r="D186" s="27" t="s">
        <v>1906</v>
      </c>
      <c r="E186" s="5">
        <v>23</v>
      </c>
      <c r="F186" s="5">
        <v>583</v>
      </c>
      <c r="G186" s="9" t="s">
        <v>2550</v>
      </c>
      <c r="H186" s="9">
        <v>2018</v>
      </c>
      <c r="I186" s="9">
        <v>0.83</v>
      </c>
      <c r="J186" s="82">
        <v>45127</v>
      </c>
      <c r="K186" s="82">
        <v>45867</v>
      </c>
      <c r="L186" s="81">
        <f t="shared" si="6"/>
        <v>24</v>
      </c>
      <c r="M186" s="5">
        <f t="shared" si="7"/>
        <v>40198.559999999998</v>
      </c>
      <c r="N186" s="5">
        <f t="shared" si="8"/>
        <v>1674.9399999999998</v>
      </c>
      <c r="O186" s="15" t="s">
        <v>1907</v>
      </c>
      <c r="P186" s="5" t="s">
        <v>1908</v>
      </c>
      <c r="Q186" s="5" t="s">
        <v>2555</v>
      </c>
      <c r="R186" s="38"/>
    </row>
    <row r="187" spans="1:18">
      <c r="A187" s="5">
        <v>186</v>
      </c>
      <c r="B187" s="5">
        <v>71037</v>
      </c>
      <c r="C187" s="15" t="s">
        <v>1905</v>
      </c>
      <c r="D187" s="27" t="s">
        <v>1906</v>
      </c>
      <c r="E187" s="5">
        <v>23</v>
      </c>
      <c r="F187" s="5">
        <v>584</v>
      </c>
      <c r="G187" s="9" t="s">
        <v>2550</v>
      </c>
      <c r="H187" s="9">
        <v>2018</v>
      </c>
      <c r="I187" s="9">
        <v>0.83</v>
      </c>
      <c r="J187" s="82">
        <v>45127</v>
      </c>
      <c r="K187" s="82">
        <v>45867</v>
      </c>
      <c r="L187" s="81">
        <f t="shared" si="6"/>
        <v>24</v>
      </c>
      <c r="M187" s="5">
        <f t="shared" si="7"/>
        <v>40198.559999999998</v>
      </c>
      <c r="N187" s="5">
        <f t="shared" si="8"/>
        <v>1674.9399999999998</v>
      </c>
      <c r="O187" s="15" t="s">
        <v>1907</v>
      </c>
      <c r="P187" s="5" t="s">
        <v>1908</v>
      </c>
      <c r="Q187" s="5" t="s">
        <v>2555</v>
      </c>
      <c r="R187" s="38"/>
    </row>
    <row r="188" spans="1:18">
      <c r="A188" s="9">
        <v>187</v>
      </c>
      <c r="B188" s="5" t="s">
        <v>1909</v>
      </c>
      <c r="C188" s="15" t="s">
        <v>1910</v>
      </c>
      <c r="D188" s="27" t="s">
        <v>1911</v>
      </c>
      <c r="E188" s="5">
        <v>23</v>
      </c>
      <c r="F188" s="5">
        <v>585</v>
      </c>
      <c r="G188" s="9" t="s">
        <v>2550</v>
      </c>
      <c r="H188" s="9">
        <v>2018</v>
      </c>
      <c r="I188" s="9">
        <v>0.83</v>
      </c>
      <c r="J188" s="82">
        <v>45127</v>
      </c>
      <c r="K188" s="82">
        <v>45867</v>
      </c>
      <c r="L188" s="81">
        <f t="shared" si="6"/>
        <v>24</v>
      </c>
      <c r="M188" s="5">
        <f t="shared" si="7"/>
        <v>40198.559999999998</v>
      </c>
      <c r="N188" s="5">
        <f t="shared" si="8"/>
        <v>1674.9399999999998</v>
      </c>
      <c r="O188" s="15" t="s">
        <v>1912</v>
      </c>
      <c r="P188" s="5" t="s">
        <v>1913</v>
      </c>
      <c r="Q188" s="5" t="s">
        <v>2554</v>
      </c>
      <c r="R188" s="38"/>
    </row>
    <row r="189" spans="1:18">
      <c r="A189" s="5">
        <v>188</v>
      </c>
      <c r="B189" s="5" t="s">
        <v>1914</v>
      </c>
      <c r="C189" s="15" t="s">
        <v>1915</v>
      </c>
      <c r="D189" s="27" t="s">
        <v>1916</v>
      </c>
      <c r="E189" s="5">
        <v>23</v>
      </c>
      <c r="F189" s="5">
        <v>586</v>
      </c>
      <c r="G189" s="9" t="s">
        <v>2550</v>
      </c>
      <c r="H189" s="9">
        <v>2018</v>
      </c>
      <c r="I189" s="9">
        <v>0.83</v>
      </c>
      <c r="J189" s="82">
        <v>45127</v>
      </c>
      <c r="K189" s="82">
        <v>45867</v>
      </c>
      <c r="L189" s="81">
        <f t="shared" si="6"/>
        <v>24</v>
      </c>
      <c r="M189" s="5">
        <f t="shared" si="7"/>
        <v>40198.559999999998</v>
      </c>
      <c r="N189" s="5">
        <f t="shared" si="8"/>
        <v>1674.9399999999998</v>
      </c>
      <c r="O189" s="15" t="s">
        <v>1917</v>
      </c>
      <c r="P189" s="5" t="s">
        <v>1918</v>
      </c>
      <c r="Q189" s="5" t="s">
        <v>2554</v>
      </c>
      <c r="R189" s="38"/>
    </row>
    <row r="190" spans="1:18">
      <c r="A190" s="5">
        <v>189</v>
      </c>
      <c r="B190" s="5">
        <v>71027</v>
      </c>
      <c r="C190" s="15" t="s">
        <v>1919</v>
      </c>
      <c r="D190" s="27" t="s">
        <v>1920</v>
      </c>
      <c r="E190" s="5">
        <v>23</v>
      </c>
      <c r="F190" s="5">
        <v>587</v>
      </c>
      <c r="G190" s="9" t="s">
        <v>2550</v>
      </c>
      <c r="H190" s="9">
        <v>2018</v>
      </c>
      <c r="I190" s="9">
        <v>0.83</v>
      </c>
      <c r="J190" s="82">
        <v>45127</v>
      </c>
      <c r="K190" s="82">
        <v>45867</v>
      </c>
      <c r="L190" s="81">
        <f t="shared" si="6"/>
        <v>24</v>
      </c>
      <c r="M190" s="5">
        <f t="shared" si="7"/>
        <v>40198.559999999998</v>
      </c>
      <c r="N190" s="5">
        <f t="shared" si="8"/>
        <v>1674.9399999999998</v>
      </c>
      <c r="O190" s="15" t="s">
        <v>1921</v>
      </c>
      <c r="P190" s="5" t="s">
        <v>1922</v>
      </c>
      <c r="Q190" s="5" t="s">
        <v>2557</v>
      </c>
      <c r="R190" s="38"/>
    </row>
    <row r="191" spans="1:18">
      <c r="A191" s="9">
        <v>190</v>
      </c>
      <c r="B191" s="5">
        <v>71342</v>
      </c>
      <c r="C191" s="15" t="s">
        <v>1923</v>
      </c>
      <c r="D191" s="27" t="s">
        <v>1924</v>
      </c>
      <c r="E191" s="5">
        <v>23</v>
      </c>
      <c r="F191" s="5">
        <v>588</v>
      </c>
      <c r="G191" s="9" t="s">
        <v>2550</v>
      </c>
      <c r="H191" s="9">
        <v>2018</v>
      </c>
      <c r="I191" s="9">
        <v>0.83</v>
      </c>
      <c r="J191" s="82">
        <v>45127</v>
      </c>
      <c r="K191" s="82">
        <v>45867</v>
      </c>
      <c r="L191" s="81">
        <f t="shared" si="6"/>
        <v>24</v>
      </c>
      <c r="M191" s="5">
        <f t="shared" si="7"/>
        <v>40198.559999999998</v>
      </c>
      <c r="N191" s="5">
        <f t="shared" si="8"/>
        <v>1674.9399999999998</v>
      </c>
      <c r="O191" s="15" t="s">
        <v>1925</v>
      </c>
      <c r="P191" s="5" t="s">
        <v>1926</v>
      </c>
      <c r="Q191" s="5" t="s">
        <v>2555</v>
      </c>
      <c r="R191" s="38"/>
    </row>
    <row r="192" spans="1:18" ht="28.8">
      <c r="A192" s="5">
        <v>191</v>
      </c>
      <c r="B192" s="5" t="s">
        <v>1927</v>
      </c>
      <c r="C192" s="15" t="s">
        <v>1928</v>
      </c>
      <c r="D192" s="27" t="s">
        <v>1929</v>
      </c>
      <c r="E192" s="5">
        <v>26</v>
      </c>
      <c r="F192" s="5">
        <v>589</v>
      </c>
      <c r="G192" s="9" t="s">
        <v>2550</v>
      </c>
      <c r="H192" s="9">
        <v>2018</v>
      </c>
      <c r="I192" s="9">
        <v>0.83</v>
      </c>
      <c r="J192" s="82">
        <v>45127</v>
      </c>
      <c r="K192" s="82">
        <v>45867</v>
      </c>
      <c r="L192" s="81">
        <f t="shared" si="6"/>
        <v>24</v>
      </c>
      <c r="M192" s="5">
        <f t="shared" si="7"/>
        <v>40198.559999999998</v>
      </c>
      <c r="N192" s="5">
        <f t="shared" si="8"/>
        <v>1674.9399999999998</v>
      </c>
      <c r="O192" s="15" t="s">
        <v>1930</v>
      </c>
      <c r="P192" s="5"/>
      <c r="Q192" s="5" t="s">
        <v>2557</v>
      </c>
      <c r="R192" s="38"/>
    </row>
    <row r="193" spans="1:18">
      <c r="A193" s="5">
        <v>192</v>
      </c>
      <c r="B193" s="5">
        <v>71295</v>
      </c>
      <c r="C193" s="15" t="s">
        <v>1931</v>
      </c>
      <c r="D193" s="27" t="s">
        <v>1932</v>
      </c>
      <c r="E193" s="5">
        <v>26</v>
      </c>
      <c r="F193" s="5">
        <v>590</v>
      </c>
      <c r="G193" s="9" t="s">
        <v>2550</v>
      </c>
      <c r="H193" s="9">
        <v>2018</v>
      </c>
      <c r="I193" s="9">
        <v>0.83</v>
      </c>
      <c r="J193" s="82">
        <v>45127</v>
      </c>
      <c r="K193" s="82">
        <v>45867</v>
      </c>
      <c r="L193" s="81">
        <f t="shared" si="6"/>
        <v>24</v>
      </c>
      <c r="M193" s="5">
        <f t="shared" si="7"/>
        <v>40198.559999999998</v>
      </c>
      <c r="N193" s="5">
        <f t="shared" si="8"/>
        <v>1674.9399999999998</v>
      </c>
      <c r="O193" s="15" t="s">
        <v>1933</v>
      </c>
      <c r="P193" s="5" t="s">
        <v>1934</v>
      </c>
      <c r="Q193" s="5" t="s">
        <v>2555</v>
      </c>
      <c r="R193" s="38"/>
    </row>
    <row r="194" spans="1:18">
      <c r="A194" s="9">
        <v>193</v>
      </c>
      <c r="B194" s="5" t="s">
        <v>1935</v>
      </c>
      <c r="C194" s="15" t="s">
        <v>1936</v>
      </c>
      <c r="D194" s="27" t="s">
        <v>1937</v>
      </c>
      <c r="E194" s="5">
        <v>26</v>
      </c>
      <c r="F194" s="5">
        <v>591</v>
      </c>
      <c r="G194" s="9" t="s">
        <v>2550</v>
      </c>
      <c r="H194" s="9">
        <v>2018</v>
      </c>
      <c r="I194" s="9">
        <v>0.83</v>
      </c>
      <c r="J194" s="82">
        <v>45127</v>
      </c>
      <c r="K194" s="82">
        <v>45867</v>
      </c>
      <c r="L194" s="81">
        <f t="shared" si="6"/>
        <v>24</v>
      </c>
      <c r="M194" s="5">
        <f t="shared" si="7"/>
        <v>40198.559999999998</v>
      </c>
      <c r="N194" s="5">
        <f t="shared" si="8"/>
        <v>1674.9399999999998</v>
      </c>
      <c r="O194" s="28" t="s">
        <v>1938</v>
      </c>
      <c r="P194" s="5" t="s">
        <v>1939</v>
      </c>
      <c r="Q194" s="5" t="s">
        <v>2555</v>
      </c>
      <c r="R194" s="38"/>
    </row>
    <row r="195" spans="1:18">
      <c r="A195" s="5">
        <v>194</v>
      </c>
      <c r="B195" s="5" t="s">
        <v>2394</v>
      </c>
      <c r="C195" s="15" t="s">
        <v>2393</v>
      </c>
      <c r="D195" s="27" t="s">
        <v>2395</v>
      </c>
      <c r="E195" s="5">
        <v>26</v>
      </c>
      <c r="F195" s="5">
        <v>592</v>
      </c>
      <c r="G195" s="9" t="s">
        <v>2550</v>
      </c>
      <c r="H195" s="9">
        <v>2018</v>
      </c>
      <c r="I195" s="9">
        <v>0.83</v>
      </c>
      <c r="J195" s="82">
        <v>45127</v>
      </c>
      <c r="K195" s="82">
        <v>45867</v>
      </c>
      <c r="L195" s="81">
        <f t="shared" ref="L195:L258" si="9">DATEDIF(J195,K195,"M")</f>
        <v>24</v>
      </c>
      <c r="M195" s="5">
        <f t="shared" ref="M195:M258" si="10">I195*H195*L195</f>
        <v>40198.559999999998</v>
      </c>
      <c r="N195" s="5">
        <f t="shared" ref="N195:N258" si="11">M195/24</f>
        <v>1674.9399999999998</v>
      </c>
      <c r="O195" s="28" t="s">
        <v>2396</v>
      </c>
      <c r="P195" s="5" t="s">
        <v>2397</v>
      </c>
      <c r="Q195" s="5" t="s">
        <v>2555</v>
      </c>
      <c r="R195" s="38"/>
    </row>
    <row r="196" spans="1:18">
      <c r="A196" s="5">
        <v>195</v>
      </c>
      <c r="B196" s="5" t="s">
        <v>2474</v>
      </c>
      <c r="C196" s="15" t="s">
        <v>2473</v>
      </c>
      <c r="D196" s="27" t="s">
        <v>2475</v>
      </c>
      <c r="E196" s="5">
        <v>23</v>
      </c>
      <c r="F196" s="5">
        <v>593</v>
      </c>
      <c r="G196" s="9" t="s">
        <v>2550</v>
      </c>
      <c r="H196" s="9">
        <v>2018</v>
      </c>
      <c r="I196" s="9">
        <v>0.83</v>
      </c>
      <c r="J196" s="82">
        <v>45127</v>
      </c>
      <c r="K196" s="82">
        <v>45867</v>
      </c>
      <c r="L196" s="81">
        <f t="shared" si="9"/>
        <v>24</v>
      </c>
      <c r="M196" s="5">
        <f t="shared" si="10"/>
        <v>40198.559999999998</v>
      </c>
      <c r="N196" s="5">
        <f t="shared" si="11"/>
        <v>1674.9399999999998</v>
      </c>
      <c r="O196" s="15" t="s">
        <v>2476</v>
      </c>
      <c r="P196" s="5" t="s">
        <v>2477</v>
      </c>
      <c r="Q196" s="5" t="s">
        <v>2555</v>
      </c>
      <c r="R196" s="38"/>
    </row>
    <row r="197" spans="1:18">
      <c r="A197" s="9">
        <v>196</v>
      </c>
      <c r="B197" s="5">
        <v>71345</v>
      </c>
      <c r="C197" s="30" t="s">
        <v>1940</v>
      </c>
      <c r="D197" s="27" t="s">
        <v>1941</v>
      </c>
      <c r="E197" s="5">
        <v>23</v>
      </c>
      <c r="F197" s="5">
        <v>594</v>
      </c>
      <c r="G197" s="9" t="s">
        <v>2550</v>
      </c>
      <c r="H197" s="9">
        <v>2018</v>
      </c>
      <c r="I197" s="9">
        <v>0.83</v>
      </c>
      <c r="J197" s="82">
        <v>45127</v>
      </c>
      <c r="K197" s="82">
        <v>45867</v>
      </c>
      <c r="L197" s="81">
        <f t="shared" si="9"/>
        <v>24</v>
      </c>
      <c r="M197" s="5">
        <f t="shared" si="10"/>
        <v>40198.559999999998</v>
      </c>
      <c r="N197" s="5">
        <f t="shared" si="11"/>
        <v>1674.9399999999998</v>
      </c>
      <c r="O197" s="15" t="s">
        <v>1942</v>
      </c>
      <c r="P197" s="5" t="s">
        <v>1943</v>
      </c>
      <c r="Q197" s="5" t="s">
        <v>2555</v>
      </c>
      <c r="R197" s="38"/>
    </row>
    <row r="198" spans="1:18">
      <c r="A198" s="5">
        <v>197</v>
      </c>
      <c r="B198" s="5">
        <v>71113</v>
      </c>
      <c r="C198" s="15" t="s">
        <v>1944</v>
      </c>
      <c r="D198" s="27" t="s">
        <v>1945</v>
      </c>
      <c r="E198" s="5">
        <v>23</v>
      </c>
      <c r="F198" s="5">
        <v>595</v>
      </c>
      <c r="G198" s="9" t="s">
        <v>2550</v>
      </c>
      <c r="H198" s="9">
        <v>2018</v>
      </c>
      <c r="I198" s="9">
        <v>0.83</v>
      </c>
      <c r="J198" s="82">
        <v>45127</v>
      </c>
      <c r="K198" s="82">
        <v>45867</v>
      </c>
      <c r="L198" s="81">
        <f t="shared" si="9"/>
        <v>24</v>
      </c>
      <c r="M198" s="5">
        <f t="shared" si="10"/>
        <v>40198.559999999998</v>
      </c>
      <c r="N198" s="5">
        <f t="shared" si="11"/>
        <v>1674.9399999999998</v>
      </c>
      <c r="O198" s="15" t="s">
        <v>1946</v>
      </c>
      <c r="P198" s="5" t="s">
        <v>1947</v>
      </c>
      <c r="Q198" s="5" t="s">
        <v>2555</v>
      </c>
      <c r="R198" s="38"/>
    </row>
    <row r="199" spans="1:18">
      <c r="A199" s="5">
        <v>198</v>
      </c>
      <c r="B199" s="5" t="s">
        <v>1948</v>
      </c>
      <c r="C199" s="15" t="s">
        <v>1949</v>
      </c>
      <c r="D199" s="27" t="s">
        <v>1945</v>
      </c>
      <c r="E199" s="5">
        <v>23</v>
      </c>
      <c r="F199" s="5">
        <v>596</v>
      </c>
      <c r="G199" s="9" t="s">
        <v>2550</v>
      </c>
      <c r="H199" s="9">
        <v>2018</v>
      </c>
      <c r="I199" s="9">
        <v>0.83</v>
      </c>
      <c r="J199" s="82">
        <v>45127</v>
      </c>
      <c r="K199" s="82">
        <v>45867</v>
      </c>
      <c r="L199" s="81">
        <f t="shared" si="9"/>
        <v>24</v>
      </c>
      <c r="M199" s="5">
        <f t="shared" si="10"/>
        <v>40198.559999999998</v>
      </c>
      <c r="N199" s="5">
        <f t="shared" si="11"/>
        <v>1674.9399999999998</v>
      </c>
      <c r="O199" s="15" t="s">
        <v>1950</v>
      </c>
      <c r="P199" s="5" t="s">
        <v>1951</v>
      </c>
      <c r="Q199" s="5" t="s">
        <v>2555</v>
      </c>
      <c r="R199" s="38"/>
    </row>
    <row r="200" spans="1:18">
      <c r="A200" s="9">
        <v>199</v>
      </c>
      <c r="B200" s="5">
        <v>71176</v>
      </c>
      <c r="C200" s="15" t="s">
        <v>1952</v>
      </c>
      <c r="D200" s="27" t="s">
        <v>1953</v>
      </c>
      <c r="E200" s="5">
        <v>23</v>
      </c>
      <c r="F200" s="5">
        <v>597</v>
      </c>
      <c r="G200" s="9" t="s">
        <v>2550</v>
      </c>
      <c r="H200" s="9">
        <v>2018</v>
      </c>
      <c r="I200" s="9">
        <v>0.83</v>
      </c>
      <c r="J200" s="82">
        <v>45127</v>
      </c>
      <c r="K200" s="82">
        <v>45867</v>
      </c>
      <c r="L200" s="81">
        <f t="shared" si="9"/>
        <v>24</v>
      </c>
      <c r="M200" s="5">
        <f t="shared" si="10"/>
        <v>40198.559999999998</v>
      </c>
      <c r="N200" s="5">
        <f t="shared" si="11"/>
        <v>1674.9399999999998</v>
      </c>
      <c r="O200" s="15" t="s">
        <v>1954</v>
      </c>
      <c r="P200" s="5"/>
      <c r="Q200" s="5" t="s">
        <v>2557</v>
      </c>
      <c r="R200" s="38"/>
    </row>
    <row r="201" spans="1:18">
      <c r="A201" s="5">
        <v>200</v>
      </c>
      <c r="B201" s="5" t="s">
        <v>1955</v>
      </c>
      <c r="C201" s="15" t="s">
        <v>1956</v>
      </c>
      <c r="D201" s="27" t="s">
        <v>1957</v>
      </c>
      <c r="E201" s="5">
        <v>23</v>
      </c>
      <c r="F201" s="5">
        <v>598</v>
      </c>
      <c r="G201" s="9" t="s">
        <v>2550</v>
      </c>
      <c r="H201" s="9">
        <v>2018</v>
      </c>
      <c r="I201" s="9">
        <v>0.83</v>
      </c>
      <c r="J201" s="82">
        <v>45127</v>
      </c>
      <c r="K201" s="82">
        <v>45867</v>
      </c>
      <c r="L201" s="81">
        <f t="shared" si="9"/>
        <v>24</v>
      </c>
      <c r="M201" s="5">
        <f t="shared" si="10"/>
        <v>40198.559999999998</v>
      </c>
      <c r="N201" s="5">
        <f t="shared" si="11"/>
        <v>1674.9399999999998</v>
      </c>
      <c r="O201" s="15" t="s">
        <v>1958</v>
      </c>
      <c r="P201" s="5" t="s">
        <v>1959</v>
      </c>
      <c r="Q201" s="5" t="s">
        <v>2555</v>
      </c>
      <c r="R201" s="38"/>
    </row>
    <row r="202" spans="1:18" ht="28.8">
      <c r="A202" s="5">
        <v>201</v>
      </c>
      <c r="B202" s="5" t="s">
        <v>1960</v>
      </c>
      <c r="C202" s="15" t="s">
        <v>1961</v>
      </c>
      <c r="D202" s="27" t="s">
        <v>1962</v>
      </c>
      <c r="E202" s="5">
        <v>23</v>
      </c>
      <c r="F202" s="5">
        <v>599</v>
      </c>
      <c r="G202" s="9" t="s">
        <v>2550</v>
      </c>
      <c r="H202" s="9">
        <v>2018</v>
      </c>
      <c r="I202" s="9">
        <v>0.83</v>
      </c>
      <c r="J202" s="82">
        <v>45127</v>
      </c>
      <c r="K202" s="82">
        <v>45867</v>
      </c>
      <c r="L202" s="81">
        <f t="shared" si="9"/>
        <v>24</v>
      </c>
      <c r="M202" s="5">
        <f t="shared" si="10"/>
        <v>40198.559999999998</v>
      </c>
      <c r="N202" s="5">
        <f t="shared" si="11"/>
        <v>1674.9399999999998</v>
      </c>
      <c r="O202" s="15" t="s">
        <v>1963</v>
      </c>
      <c r="P202" s="5" t="s">
        <v>1964</v>
      </c>
      <c r="Q202" s="5" t="s">
        <v>2557</v>
      </c>
      <c r="R202" s="38"/>
    </row>
    <row r="203" spans="1:18">
      <c r="A203" s="9">
        <v>202</v>
      </c>
      <c r="B203" s="5">
        <v>71282</v>
      </c>
      <c r="C203" s="15" t="s">
        <v>1965</v>
      </c>
      <c r="D203" s="27" t="s">
        <v>1966</v>
      </c>
      <c r="E203" s="5">
        <v>23</v>
      </c>
      <c r="F203" s="5">
        <v>600</v>
      </c>
      <c r="G203" s="9" t="s">
        <v>2550</v>
      </c>
      <c r="H203" s="9">
        <v>2018</v>
      </c>
      <c r="I203" s="9">
        <v>0.83</v>
      </c>
      <c r="J203" s="82">
        <v>45127</v>
      </c>
      <c r="K203" s="82">
        <v>45867</v>
      </c>
      <c r="L203" s="81">
        <f t="shared" si="9"/>
        <v>24</v>
      </c>
      <c r="M203" s="5">
        <f t="shared" si="10"/>
        <v>40198.559999999998</v>
      </c>
      <c r="N203" s="5">
        <f t="shared" si="11"/>
        <v>1674.9399999999998</v>
      </c>
      <c r="O203" s="15" t="s">
        <v>1967</v>
      </c>
      <c r="P203" s="5"/>
      <c r="Q203" s="5" t="s">
        <v>2554</v>
      </c>
      <c r="R203" s="38"/>
    </row>
    <row r="204" spans="1:18">
      <c r="A204" s="5">
        <v>203</v>
      </c>
      <c r="B204" s="5" t="s">
        <v>1968</v>
      </c>
      <c r="C204" s="15" t="s">
        <v>1969</v>
      </c>
      <c r="D204" s="27" t="s">
        <v>1970</v>
      </c>
      <c r="E204" s="5">
        <v>23</v>
      </c>
      <c r="F204" s="5">
        <v>601</v>
      </c>
      <c r="G204" s="9" t="s">
        <v>2550</v>
      </c>
      <c r="H204" s="9">
        <v>2018</v>
      </c>
      <c r="I204" s="9">
        <v>0.83</v>
      </c>
      <c r="J204" s="82">
        <v>45127</v>
      </c>
      <c r="K204" s="82">
        <v>45867</v>
      </c>
      <c r="L204" s="81">
        <f t="shared" si="9"/>
        <v>24</v>
      </c>
      <c r="M204" s="5">
        <f t="shared" si="10"/>
        <v>40198.559999999998</v>
      </c>
      <c r="N204" s="5">
        <f t="shared" si="11"/>
        <v>1674.9399999999998</v>
      </c>
      <c r="O204" s="15" t="s">
        <v>1971</v>
      </c>
      <c r="P204" s="5" t="s">
        <v>1972</v>
      </c>
      <c r="Q204" s="5" t="s">
        <v>2557</v>
      </c>
      <c r="R204" s="38"/>
    </row>
    <row r="205" spans="1:18">
      <c r="A205" s="5">
        <v>204</v>
      </c>
      <c r="B205" s="5" t="s">
        <v>1973</v>
      </c>
      <c r="C205" s="15" t="s">
        <v>1974</v>
      </c>
      <c r="D205" s="27" t="s">
        <v>1975</v>
      </c>
      <c r="E205" s="5">
        <v>23</v>
      </c>
      <c r="F205" s="5">
        <v>602</v>
      </c>
      <c r="G205" s="9" t="s">
        <v>2550</v>
      </c>
      <c r="H205" s="9">
        <v>2018</v>
      </c>
      <c r="I205" s="9">
        <v>0.83</v>
      </c>
      <c r="J205" s="82">
        <v>45127</v>
      </c>
      <c r="K205" s="82">
        <v>45867</v>
      </c>
      <c r="L205" s="81">
        <f t="shared" si="9"/>
        <v>24</v>
      </c>
      <c r="M205" s="5">
        <f t="shared" si="10"/>
        <v>40198.559999999998</v>
      </c>
      <c r="N205" s="5">
        <f t="shared" si="11"/>
        <v>1674.9399999999998</v>
      </c>
      <c r="O205" s="28" t="s">
        <v>1976</v>
      </c>
      <c r="P205" s="5" t="s">
        <v>1977</v>
      </c>
      <c r="Q205" s="5" t="s">
        <v>2555</v>
      </c>
      <c r="R205" s="38"/>
    </row>
    <row r="206" spans="1:18">
      <c r="A206" s="9">
        <v>205</v>
      </c>
      <c r="B206" s="5">
        <v>71051</v>
      </c>
      <c r="C206" s="15" t="s">
        <v>1978</v>
      </c>
      <c r="D206" s="27" t="s">
        <v>1979</v>
      </c>
      <c r="E206" s="5">
        <v>23</v>
      </c>
      <c r="F206" s="5">
        <v>603</v>
      </c>
      <c r="G206" s="9" t="s">
        <v>2550</v>
      </c>
      <c r="H206" s="9">
        <v>2018</v>
      </c>
      <c r="I206" s="9">
        <v>0.83</v>
      </c>
      <c r="J206" s="82">
        <v>45127</v>
      </c>
      <c r="K206" s="82">
        <v>45867</v>
      </c>
      <c r="L206" s="81">
        <f t="shared" si="9"/>
        <v>24</v>
      </c>
      <c r="M206" s="5">
        <f t="shared" si="10"/>
        <v>40198.559999999998</v>
      </c>
      <c r="N206" s="5">
        <f t="shared" si="11"/>
        <v>1674.9399999999998</v>
      </c>
      <c r="O206" s="15" t="s">
        <v>1980</v>
      </c>
      <c r="P206" s="5" t="s">
        <v>1981</v>
      </c>
      <c r="Q206" s="5" t="s">
        <v>2555</v>
      </c>
      <c r="R206" s="38"/>
    </row>
    <row r="207" spans="1:18">
      <c r="A207" s="5">
        <v>206</v>
      </c>
      <c r="B207" s="5">
        <v>71185</v>
      </c>
      <c r="C207" s="15" t="s">
        <v>1982</v>
      </c>
      <c r="D207" s="27" t="s">
        <v>1983</v>
      </c>
      <c r="E207" s="5">
        <v>23</v>
      </c>
      <c r="F207" s="5">
        <v>604</v>
      </c>
      <c r="G207" s="9" t="s">
        <v>2550</v>
      </c>
      <c r="H207" s="9">
        <v>2018</v>
      </c>
      <c r="I207" s="9">
        <v>0.83</v>
      </c>
      <c r="J207" s="82">
        <v>45127</v>
      </c>
      <c r="K207" s="82">
        <v>45867</v>
      </c>
      <c r="L207" s="81">
        <f t="shared" si="9"/>
        <v>24</v>
      </c>
      <c r="M207" s="5">
        <f t="shared" si="10"/>
        <v>40198.559999999998</v>
      </c>
      <c r="N207" s="5">
        <f t="shared" si="11"/>
        <v>1674.9399999999998</v>
      </c>
      <c r="O207" s="28" t="s">
        <v>1984</v>
      </c>
      <c r="P207" s="5"/>
      <c r="Q207" s="5" t="s">
        <v>2555</v>
      </c>
      <c r="R207" s="38"/>
    </row>
    <row r="208" spans="1:18">
      <c r="A208" s="5">
        <v>207</v>
      </c>
      <c r="B208" s="5">
        <v>71047</v>
      </c>
      <c r="C208" s="15" t="s">
        <v>1985</v>
      </c>
      <c r="D208" s="27" t="s">
        <v>1986</v>
      </c>
      <c r="E208" s="5">
        <v>23</v>
      </c>
      <c r="F208" s="5">
        <v>605</v>
      </c>
      <c r="G208" s="9" t="s">
        <v>2550</v>
      </c>
      <c r="H208" s="9">
        <v>2018</v>
      </c>
      <c r="I208" s="9">
        <v>0.83</v>
      </c>
      <c r="J208" s="82">
        <v>45127</v>
      </c>
      <c r="K208" s="82">
        <v>45867</v>
      </c>
      <c r="L208" s="81">
        <f t="shared" si="9"/>
        <v>24</v>
      </c>
      <c r="M208" s="5">
        <f t="shared" si="10"/>
        <v>40198.559999999998</v>
      </c>
      <c r="N208" s="5">
        <f t="shared" si="11"/>
        <v>1674.9399999999998</v>
      </c>
      <c r="O208" s="15" t="s">
        <v>808</v>
      </c>
      <c r="P208" s="5" t="s">
        <v>1987</v>
      </c>
      <c r="Q208" s="5" t="s">
        <v>2554</v>
      </c>
      <c r="R208" s="38"/>
    </row>
    <row r="209" spans="1:18">
      <c r="A209" s="9">
        <v>208</v>
      </c>
      <c r="B209" s="5" t="s">
        <v>1988</v>
      </c>
      <c r="C209" s="15" t="s">
        <v>1989</v>
      </c>
      <c r="D209" s="27" t="s">
        <v>1990</v>
      </c>
      <c r="E209" s="5">
        <v>23</v>
      </c>
      <c r="F209" s="5">
        <v>606</v>
      </c>
      <c r="G209" s="9" t="s">
        <v>2550</v>
      </c>
      <c r="H209" s="9">
        <v>2018</v>
      </c>
      <c r="I209" s="9">
        <v>0.83</v>
      </c>
      <c r="J209" s="82">
        <v>45127</v>
      </c>
      <c r="K209" s="82">
        <v>45867</v>
      </c>
      <c r="L209" s="81">
        <f t="shared" si="9"/>
        <v>24</v>
      </c>
      <c r="M209" s="5">
        <f t="shared" si="10"/>
        <v>40198.559999999998</v>
      </c>
      <c r="N209" s="5">
        <f t="shared" si="11"/>
        <v>1674.9399999999998</v>
      </c>
      <c r="O209" s="15" t="s">
        <v>1991</v>
      </c>
      <c r="P209" s="5" t="s">
        <v>1992</v>
      </c>
      <c r="Q209" s="5" t="s">
        <v>2555</v>
      </c>
      <c r="R209" s="38"/>
    </row>
    <row r="210" spans="1:18" ht="28.8">
      <c r="A210" s="5">
        <v>209</v>
      </c>
      <c r="B210" s="5" t="s">
        <v>1993</v>
      </c>
      <c r="C210" s="15" t="s">
        <v>1994</v>
      </c>
      <c r="D210" s="27" t="s">
        <v>1995</v>
      </c>
      <c r="E210" s="5">
        <v>23</v>
      </c>
      <c r="F210" s="5">
        <v>607</v>
      </c>
      <c r="G210" s="9" t="s">
        <v>2550</v>
      </c>
      <c r="H210" s="9">
        <v>2018</v>
      </c>
      <c r="I210" s="9">
        <v>0.83</v>
      </c>
      <c r="J210" s="82">
        <v>45127</v>
      </c>
      <c r="K210" s="82">
        <v>45867</v>
      </c>
      <c r="L210" s="81">
        <f t="shared" si="9"/>
        <v>24</v>
      </c>
      <c r="M210" s="5">
        <f t="shared" si="10"/>
        <v>40198.559999999998</v>
      </c>
      <c r="N210" s="5">
        <f t="shared" si="11"/>
        <v>1674.9399999999998</v>
      </c>
      <c r="O210" s="15" t="s">
        <v>1996</v>
      </c>
      <c r="P210" s="5" t="s">
        <v>1997</v>
      </c>
      <c r="Q210" s="5" t="s">
        <v>2554</v>
      </c>
      <c r="R210" s="38"/>
    </row>
    <row r="211" spans="1:18" ht="28.8">
      <c r="A211" s="5">
        <v>210</v>
      </c>
      <c r="B211" s="5" t="s">
        <v>1998</v>
      </c>
      <c r="C211" s="15" t="s">
        <v>1999</v>
      </c>
      <c r="D211" s="27" t="s">
        <v>2000</v>
      </c>
      <c r="E211" s="5">
        <v>23</v>
      </c>
      <c r="F211" s="5">
        <v>608</v>
      </c>
      <c r="G211" s="9" t="s">
        <v>2550</v>
      </c>
      <c r="H211" s="9">
        <v>2018</v>
      </c>
      <c r="I211" s="9">
        <v>0.83</v>
      </c>
      <c r="J211" s="82">
        <v>45127</v>
      </c>
      <c r="K211" s="82">
        <v>45867</v>
      </c>
      <c r="L211" s="81">
        <f t="shared" si="9"/>
        <v>24</v>
      </c>
      <c r="M211" s="5">
        <f t="shared" si="10"/>
        <v>40198.559999999998</v>
      </c>
      <c r="N211" s="5">
        <f t="shared" si="11"/>
        <v>1674.9399999999998</v>
      </c>
      <c r="O211" s="15" t="s">
        <v>2001</v>
      </c>
      <c r="P211" s="5" t="s">
        <v>2002</v>
      </c>
      <c r="Q211" s="5" t="s">
        <v>2555</v>
      </c>
      <c r="R211" s="38"/>
    </row>
    <row r="212" spans="1:18">
      <c r="A212" s="9">
        <v>211</v>
      </c>
      <c r="B212" s="5">
        <v>71091</v>
      </c>
      <c r="C212" s="15" t="s">
        <v>2003</v>
      </c>
      <c r="D212" s="27" t="s">
        <v>2004</v>
      </c>
      <c r="E212" s="5">
        <v>23</v>
      </c>
      <c r="F212" s="5">
        <v>609</v>
      </c>
      <c r="G212" s="9" t="s">
        <v>2550</v>
      </c>
      <c r="H212" s="9">
        <v>2018</v>
      </c>
      <c r="I212" s="9">
        <v>0.83</v>
      </c>
      <c r="J212" s="82">
        <v>45127</v>
      </c>
      <c r="K212" s="82">
        <v>45867</v>
      </c>
      <c r="L212" s="81">
        <f t="shared" si="9"/>
        <v>24</v>
      </c>
      <c r="M212" s="5">
        <f t="shared" si="10"/>
        <v>40198.559999999998</v>
      </c>
      <c r="N212" s="5">
        <f t="shared" si="11"/>
        <v>1674.9399999999998</v>
      </c>
      <c r="O212" s="15" t="s">
        <v>2005</v>
      </c>
      <c r="P212" s="5" t="s">
        <v>2006</v>
      </c>
      <c r="Q212" s="5" t="s">
        <v>2555</v>
      </c>
      <c r="R212" s="38"/>
    </row>
    <row r="213" spans="1:18">
      <c r="A213" s="5">
        <v>212</v>
      </c>
      <c r="B213" s="5">
        <v>71382</v>
      </c>
      <c r="C213" s="30" t="s">
        <v>2007</v>
      </c>
      <c r="D213" s="27" t="s">
        <v>2008</v>
      </c>
      <c r="E213" s="5">
        <v>23</v>
      </c>
      <c r="F213" s="5">
        <v>610</v>
      </c>
      <c r="G213" s="9" t="s">
        <v>2550</v>
      </c>
      <c r="H213" s="9">
        <v>2018</v>
      </c>
      <c r="I213" s="9">
        <v>0.83</v>
      </c>
      <c r="J213" s="82">
        <v>45127</v>
      </c>
      <c r="K213" s="82">
        <v>45867</v>
      </c>
      <c r="L213" s="81">
        <f t="shared" si="9"/>
        <v>24</v>
      </c>
      <c r="M213" s="5">
        <f t="shared" si="10"/>
        <v>40198.559999999998</v>
      </c>
      <c r="N213" s="5">
        <f t="shared" si="11"/>
        <v>1674.9399999999998</v>
      </c>
      <c r="O213" s="15" t="s">
        <v>2009</v>
      </c>
      <c r="P213" s="5"/>
      <c r="Q213" s="5" t="s">
        <v>2555</v>
      </c>
      <c r="R213" s="38"/>
    </row>
    <row r="214" spans="1:18" ht="28.8">
      <c r="A214" s="5">
        <v>213</v>
      </c>
      <c r="B214" s="5">
        <v>71334</v>
      </c>
      <c r="C214" s="15" t="s">
        <v>2010</v>
      </c>
      <c r="D214" s="27" t="s">
        <v>2011</v>
      </c>
      <c r="E214" s="5">
        <v>23</v>
      </c>
      <c r="F214" s="5">
        <v>611</v>
      </c>
      <c r="G214" s="9" t="s">
        <v>2550</v>
      </c>
      <c r="H214" s="9">
        <v>2018</v>
      </c>
      <c r="I214" s="9">
        <v>0.83</v>
      </c>
      <c r="J214" s="82">
        <v>45127</v>
      </c>
      <c r="K214" s="82">
        <v>45867</v>
      </c>
      <c r="L214" s="81">
        <f t="shared" si="9"/>
        <v>24</v>
      </c>
      <c r="M214" s="5">
        <f t="shared" si="10"/>
        <v>40198.559999999998</v>
      </c>
      <c r="N214" s="5">
        <f t="shared" si="11"/>
        <v>1674.9399999999998</v>
      </c>
      <c r="O214" s="28" t="s">
        <v>241</v>
      </c>
      <c r="P214" s="5" t="s">
        <v>2012</v>
      </c>
      <c r="Q214" s="5" t="s">
        <v>2555</v>
      </c>
      <c r="R214" s="38"/>
    </row>
    <row r="215" spans="1:18">
      <c r="A215" s="9">
        <v>214</v>
      </c>
      <c r="B215" s="5" t="s">
        <v>2013</v>
      </c>
      <c r="C215" s="15" t="s">
        <v>2014</v>
      </c>
      <c r="D215" s="27" t="s">
        <v>2015</v>
      </c>
      <c r="E215" s="5">
        <v>23</v>
      </c>
      <c r="F215" s="5">
        <v>612</v>
      </c>
      <c r="G215" s="9" t="s">
        <v>2550</v>
      </c>
      <c r="H215" s="9">
        <v>2018</v>
      </c>
      <c r="I215" s="9">
        <v>0.83</v>
      </c>
      <c r="J215" s="82">
        <v>45127</v>
      </c>
      <c r="K215" s="82">
        <v>45867</v>
      </c>
      <c r="L215" s="81">
        <f t="shared" si="9"/>
        <v>24</v>
      </c>
      <c r="M215" s="5">
        <f t="shared" si="10"/>
        <v>40198.559999999998</v>
      </c>
      <c r="N215" s="5">
        <f t="shared" si="11"/>
        <v>1674.9399999999998</v>
      </c>
      <c r="O215" s="28" t="s">
        <v>2016</v>
      </c>
      <c r="P215" s="5" t="s">
        <v>2017</v>
      </c>
      <c r="Q215" s="5" t="s">
        <v>2555</v>
      </c>
      <c r="R215" s="38"/>
    </row>
    <row r="216" spans="1:18">
      <c r="A216" s="5">
        <v>215</v>
      </c>
      <c r="B216" s="5" t="s">
        <v>2018</v>
      </c>
      <c r="C216" s="15" t="s">
        <v>1460</v>
      </c>
      <c r="D216" s="27" t="s">
        <v>1461</v>
      </c>
      <c r="E216" s="5">
        <v>24</v>
      </c>
      <c r="F216" s="5">
        <v>613</v>
      </c>
      <c r="G216" s="9" t="s">
        <v>2550</v>
      </c>
      <c r="H216" s="9">
        <v>2018</v>
      </c>
      <c r="I216" s="9">
        <v>0.83</v>
      </c>
      <c r="J216" s="82">
        <v>45127</v>
      </c>
      <c r="K216" s="82">
        <v>45867</v>
      </c>
      <c r="L216" s="81">
        <f t="shared" si="9"/>
        <v>24</v>
      </c>
      <c r="M216" s="5">
        <f t="shared" si="10"/>
        <v>40198.559999999998</v>
      </c>
      <c r="N216" s="5">
        <f t="shared" si="11"/>
        <v>1674.9399999999998</v>
      </c>
      <c r="O216" s="28" t="s">
        <v>2019</v>
      </c>
      <c r="P216" s="5" t="s">
        <v>968</v>
      </c>
      <c r="Q216" s="5" t="s">
        <v>2555</v>
      </c>
      <c r="R216" s="38"/>
    </row>
    <row r="217" spans="1:18">
      <c r="A217" s="5">
        <v>216</v>
      </c>
      <c r="B217" s="5" t="s">
        <v>2020</v>
      </c>
      <c r="C217" s="15" t="s">
        <v>2021</v>
      </c>
      <c r="D217" s="27" t="s">
        <v>2022</v>
      </c>
      <c r="E217" s="5">
        <v>24</v>
      </c>
      <c r="F217" s="5">
        <v>614</v>
      </c>
      <c r="G217" s="9" t="s">
        <v>2550</v>
      </c>
      <c r="H217" s="9">
        <v>2018</v>
      </c>
      <c r="I217" s="9">
        <v>0.83</v>
      </c>
      <c r="J217" s="82">
        <v>45127</v>
      </c>
      <c r="K217" s="82">
        <v>45867</v>
      </c>
      <c r="L217" s="81">
        <f t="shared" si="9"/>
        <v>24</v>
      </c>
      <c r="M217" s="5">
        <f t="shared" si="10"/>
        <v>40198.559999999998</v>
      </c>
      <c r="N217" s="5">
        <f t="shared" si="11"/>
        <v>1674.9399999999998</v>
      </c>
      <c r="O217" s="15" t="s">
        <v>2023</v>
      </c>
      <c r="P217" s="5" t="s">
        <v>2024</v>
      </c>
      <c r="Q217" s="5" t="s">
        <v>2555</v>
      </c>
      <c r="R217" s="38"/>
    </row>
    <row r="218" spans="1:18">
      <c r="A218" s="9">
        <v>217</v>
      </c>
      <c r="B218" s="5" t="s">
        <v>2025</v>
      </c>
      <c r="C218" s="15" t="s">
        <v>2026</v>
      </c>
      <c r="D218" s="27" t="s">
        <v>2027</v>
      </c>
      <c r="E218" s="5">
        <v>24</v>
      </c>
      <c r="F218" s="5">
        <v>615</v>
      </c>
      <c r="G218" s="9" t="s">
        <v>2550</v>
      </c>
      <c r="H218" s="9">
        <v>2018</v>
      </c>
      <c r="I218" s="9">
        <v>0.83</v>
      </c>
      <c r="J218" s="82">
        <v>45127</v>
      </c>
      <c r="K218" s="82">
        <v>45867</v>
      </c>
      <c r="L218" s="81">
        <f t="shared" si="9"/>
        <v>24</v>
      </c>
      <c r="M218" s="5">
        <f t="shared" si="10"/>
        <v>40198.559999999998</v>
      </c>
      <c r="N218" s="5">
        <f t="shared" si="11"/>
        <v>1674.9399999999998</v>
      </c>
      <c r="O218" s="15" t="s">
        <v>2028</v>
      </c>
      <c r="P218" s="5" t="s">
        <v>2029</v>
      </c>
      <c r="Q218" s="5" t="s">
        <v>2555</v>
      </c>
      <c r="R218" s="38"/>
    </row>
    <row r="219" spans="1:18">
      <c r="A219" s="5">
        <v>218</v>
      </c>
      <c r="B219" s="5" t="s">
        <v>2030</v>
      </c>
      <c r="C219" s="15" t="s">
        <v>2031</v>
      </c>
      <c r="D219" s="27" t="s">
        <v>2032</v>
      </c>
      <c r="E219" s="5">
        <v>24</v>
      </c>
      <c r="F219" s="5">
        <v>616</v>
      </c>
      <c r="G219" s="9" t="s">
        <v>2550</v>
      </c>
      <c r="H219" s="9">
        <v>2018</v>
      </c>
      <c r="I219" s="9">
        <v>0.83</v>
      </c>
      <c r="J219" s="82">
        <v>45127</v>
      </c>
      <c r="K219" s="82">
        <v>45867</v>
      </c>
      <c r="L219" s="81">
        <f t="shared" si="9"/>
        <v>24</v>
      </c>
      <c r="M219" s="5">
        <f t="shared" si="10"/>
        <v>40198.559999999998</v>
      </c>
      <c r="N219" s="5">
        <f t="shared" si="11"/>
        <v>1674.9399999999998</v>
      </c>
      <c r="O219" s="15" t="s">
        <v>2033</v>
      </c>
      <c r="P219" s="5" t="s">
        <v>2034</v>
      </c>
      <c r="Q219" s="5" t="s">
        <v>2555</v>
      </c>
      <c r="R219" s="38"/>
    </row>
    <row r="220" spans="1:18">
      <c r="A220" s="5">
        <v>219</v>
      </c>
      <c r="B220" s="5">
        <v>71164</v>
      </c>
      <c r="C220" s="15" t="s">
        <v>2035</v>
      </c>
      <c r="D220" s="27" t="s">
        <v>2036</v>
      </c>
      <c r="E220" s="5">
        <v>24</v>
      </c>
      <c r="F220" s="5">
        <v>617</v>
      </c>
      <c r="G220" s="9" t="s">
        <v>2550</v>
      </c>
      <c r="H220" s="9">
        <v>2018</v>
      </c>
      <c r="I220" s="9">
        <v>0.83</v>
      </c>
      <c r="J220" s="82">
        <v>45127</v>
      </c>
      <c r="K220" s="82">
        <v>45867</v>
      </c>
      <c r="L220" s="81">
        <f t="shared" si="9"/>
        <v>24</v>
      </c>
      <c r="M220" s="5">
        <f t="shared" si="10"/>
        <v>40198.559999999998</v>
      </c>
      <c r="N220" s="5">
        <f t="shared" si="11"/>
        <v>1674.9399999999998</v>
      </c>
      <c r="O220" s="15" t="s">
        <v>2037</v>
      </c>
      <c r="P220" s="5" t="s">
        <v>1865</v>
      </c>
      <c r="Q220" s="5" t="s">
        <v>2554</v>
      </c>
      <c r="R220" s="38"/>
    </row>
    <row r="221" spans="1:18">
      <c r="A221" s="9">
        <v>220</v>
      </c>
      <c r="B221" s="5" t="s">
        <v>2449</v>
      </c>
      <c r="C221" s="15" t="s">
        <v>2448</v>
      </c>
      <c r="D221" s="27" t="s">
        <v>2450</v>
      </c>
      <c r="E221" s="5">
        <v>24</v>
      </c>
      <c r="F221" s="5">
        <v>618</v>
      </c>
      <c r="G221" s="9" t="s">
        <v>2550</v>
      </c>
      <c r="H221" s="9">
        <v>2018</v>
      </c>
      <c r="I221" s="9">
        <v>0.83</v>
      </c>
      <c r="J221" s="82">
        <v>45127</v>
      </c>
      <c r="K221" s="82">
        <v>45867</v>
      </c>
      <c r="L221" s="81">
        <f t="shared" si="9"/>
        <v>24</v>
      </c>
      <c r="M221" s="5">
        <f t="shared" si="10"/>
        <v>40198.559999999998</v>
      </c>
      <c r="N221" s="5">
        <f t="shared" si="11"/>
        <v>1674.9399999999998</v>
      </c>
      <c r="O221" s="28" t="s">
        <v>2451</v>
      </c>
      <c r="P221" s="5" t="s">
        <v>2452</v>
      </c>
      <c r="Q221" s="5" t="s">
        <v>2555</v>
      </c>
      <c r="R221" s="38"/>
    </row>
    <row r="222" spans="1:18">
      <c r="A222" s="5">
        <v>221</v>
      </c>
      <c r="B222" s="5">
        <v>71269</v>
      </c>
      <c r="C222" s="15" t="s">
        <v>2038</v>
      </c>
      <c r="D222" s="27" t="s">
        <v>2039</v>
      </c>
      <c r="E222" s="5">
        <v>24</v>
      </c>
      <c r="F222" s="5">
        <v>619</v>
      </c>
      <c r="G222" s="9" t="s">
        <v>2550</v>
      </c>
      <c r="H222" s="9">
        <v>2018</v>
      </c>
      <c r="I222" s="9">
        <v>0.83</v>
      </c>
      <c r="J222" s="82">
        <v>45127</v>
      </c>
      <c r="K222" s="82">
        <v>45867</v>
      </c>
      <c r="L222" s="81">
        <f t="shared" si="9"/>
        <v>24</v>
      </c>
      <c r="M222" s="5">
        <f t="shared" si="10"/>
        <v>40198.559999999998</v>
      </c>
      <c r="N222" s="5">
        <f t="shared" si="11"/>
        <v>1674.9399999999998</v>
      </c>
      <c r="O222" s="15" t="s">
        <v>2040</v>
      </c>
      <c r="P222" s="5"/>
      <c r="Q222" s="5" t="s">
        <v>2555</v>
      </c>
      <c r="R222" s="38"/>
    </row>
    <row r="223" spans="1:18">
      <c r="A223" s="5">
        <v>222</v>
      </c>
      <c r="B223" s="5" t="s">
        <v>2041</v>
      </c>
      <c r="C223" s="15" t="s">
        <v>2042</v>
      </c>
      <c r="D223" s="27" t="s">
        <v>2043</v>
      </c>
      <c r="E223" s="5">
        <v>24</v>
      </c>
      <c r="F223" s="5">
        <v>620</v>
      </c>
      <c r="G223" s="9" t="s">
        <v>2550</v>
      </c>
      <c r="H223" s="9">
        <v>2018</v>
      </c>
      <c r="I223" s="9">
        <v>0.83</v>
      </c>
      <c r="J223" s="82">
        <v>45127</v>
      </c>
      <c r="K223" s="82">
        <v>45867</v>
      </c>
      <c r="L223" s="81">
        <f t="shared" si="9"/>
        <v>24</v>
      </c>
      <c r="M223" s="5">
        <f t="shared" si="10"/>
        <v>40198.559999999998</v>
      </c>
      <c r="N223" s="5">
        <f t="shared" si="11"/>
        <v>1674.9399999999998</v>
      </c>
      <c r="O223" s="15" t="s">
        <v>2044</v>
      </c>
      <c r="P223" s="5" t="s">
        <v>2045</v>
      </c>
      <c r="Q223" s="5" t="s">
        <v>2555</v>
      </c>
      <c r="R223" s="38"/>
    </row>
    <row r="224" spans="1:18" ht="28.8">
      <c r="A224" s="9">
        <v>223</v>
      </c>
      <c r="B224" s="5" t="s">
        <v>2461</v>
      </c>
      <c r="C224" s="15" t="s">
        <v>2460</v>
      </c>
      <c r="D224" s="27" t="s">
        <v>2462</v>
      </c>
      <c r="E224" s="5">
        <v>24</v>
      </c>
      <c r="F224" s="5">
        <v>621</v>
      </c>
      <c r="G224" s="9" t="s">
        <v>2550</v>
      </c>
      <c r="H224" s="9">
        <v>2018</v>
      </c>
      <c r="I224" s="9">
        <v>0.83</v>
      </c>
      <c r="J224" s="82">
        <v>45127</v>
      </c>
      <c r="K224" s="82">
        <v>45867</v>
      </c>
      <c r="L224" s="81">
        <f t="shared" si="9"/>
        <v>24</v>
      </c>
      <c r="M224" s="5">
        <f t="shared" si="10"/>
        <v>40198.559999999998</v>
      </c>
      <c r="N224" s="5">
        <f t="shared" si="11"/>
        <v>1674.9399999999998</v>
      </c>
      <c r="O224" s="15" t="s">
        <v>2463</v>
      </c>
      <c r="P224" s="5" t="s">
        <v>2464</v>
      </c>
      <c r="Q224" s="5" t="s">
        <v>2555</v>
      </c>
      <c r="R224" s="38"/>
    </row>
    <row r="225" spans="1:18">
      <c r="A225" s="5">
        <v>224</v>
      </c>
      <c r="B225" s="5" t="s">
        <v>2046</v>
      </c>
      <c r="C225" s="15" t="s">
        <v>2047</v>
      </c>
      <c r="D225" s="27" t="s">
        <v>2048</v>
      </c>
      <c r="E225" s="5">
        <v>24</v>
      </c>
      <c r="F225" s="5">
        <v>622</v>
      </c>
      <c r="G225" s="9" t="s">
        <v>2550</v>
      </c>
      <c r="H225" s="9">
        <v>2018</v>
      </c>
      <c r="I225" s="9">
        <v>0.83</v>
      </c>
      <c r="J225" s="82">
        <v>45127</v>
      </c>
      <c r="K225" s="82">
        <v>45867</v>
      </c>
      <c r="L225" s="81">
        <f t="shared" si="9"/>
        <v>24</v>
      </c>
      <c r="M225" s="5">
        <f t="shared" si="10"/>
        <v>40198.559999999998</v>
      </c>
      <c r="N225" s="5">
        <f t="shared" si="11"/>
        <v>1674.9399999999998</v>
      </c>
      <c r="O225" s="28" t="s">
        <v>2049</v>
      </c>
      <c r="P225" s="5" t="s">
        <v>2050</v>
      </c>
      <c r="Q225" s="5" t="s">
        <v>2555</v>
      </c>
      <c r="R225" s="38"/>
    </row>
    <row r="226" spans="1:18" ht="28.8">
      <c r="A226" s="5">
        <v>225</v>
      </c>
      <c r="B226" s="5" t="s">
        <v>2051</v>
      </c>
      <c r="C226" s="15" t="s">
        <v>2052</v>
      </c>
      <c r="D226" s="27" t="s">
        <v>2053</v>
      </c>
      <c r="E226" s="5">
        <v>24</v>
      </c>
      <c r="F226" s="5">
        <v>623</v>
      </c>
      <c r="G226" s="9" t="s">
        <v>2550</v>
      </c>
      <c r="H226" s="9">
        <v>2018</v>
      </c>
      <c r="I226" s="9">
        <v>0.83</v>
      </c>
      <c r="J226" s="82">
        <v>45127</v>
      </c>
      <c r="K226" s="82">
        <v>45867</v>
      </c>
      <c r="L226" s="81">
        <f t="shared" si="9"/>
        <v>24</v>
      </c>
      <c r="M226" s="5">
        <f t="shared" si="10"/>
        <v>40198.559999999998</v>
      </c>
      <c r="N226" s="5">
        <f t="shared" si="11"/>
        <v>1674.9399999999998</v>
      </c>
      <c r="O226" s="15" t="s">
        <v>2054</v>
      </c>
      <c r="P226" s="5" t="s">
        <v>2055</v>
      </c>
      <c r="Q226" s="5" t="s">
        <v>2555</v>
      </c>
      <c r="R226" s="38"/>
    </row>
    <row r="227" spans="1:18" ht="57.6">
      <c r="A227" s="68">
        <v>226</v>
      </c>
      <c r="B227" s="57" t="s">
        <v>2056</v>
      </c>
      <c r="C227" s="58" t="s">
        <v>2057</v>
      </c>
      <c r="D227" s="59" t="s">
        <v>2058</v>
      </c>
      <c r="E227" s="57">
        <v>24</v>
      </c>
      <c r="F227" s="57">
        <v>624</v>
      </c>
      <c r="G227" s="68" t="s">
        <v>2550</v>
      </c>
      <c r="H227" s="9">
        <v>2018</v>
      </c>
      <c r="I227" s="9">
        <v>0.83</v>
      </c>
      <c r="J227" s="82">
        <v>45127</v>
      </c>
      <c r="K227" s="82">
        <v>45867</v>
      </c>
      <c r="L227" s="81">
        <f t="shared" si="9"/>
        <v>24</v>
      </c>
      <c r="M227" s="5">
        <f t="shared" si="10"/>
        <v>40198.559999999998</v>
      </c>
      <c r="N227" s="5">
        <f t="shared" si="11"/>
        <v>1674.9399999999998</v>
      </c>
      <c r="O227" s="58" t="s">
        <v>2059</v>
      </c>
      <c r="P227" s="57" t="s">
        <v>2060</v>
      </c>
      <c r="Q227" s="5" t="s">
        <v>2555</v>
      </c>
      <c r="R227" s="60"/>
    </row>
    <row r="228" spans="1:18">
      <c r="A228" s="5">
        <v>227</v>
      </c>
      <c r="B228" s="5" t="s">
        <v>2061</v>
      </c>
      <c r="C228" s="15" t="s">
        <v>2062</v>
      </c>
      <c r="D228" s="27" t="s">
        <v>2063</v>
      </c>
      <c r="E228" s="5">
        <v>24</v>
      </c>
      <c r="F228" s="5">
        <v>625</v>
      </c>
      <c r="G228" s="9" t="s">
        <v>2550</v>
      </c>
      <c r="H228" s="9">
        <v>2018</v>
      </c>
      <c r="I228" s="9">
        <v>0.83</v>
      </c>
      <c r="J228" s="82">
        <v>45127</v>
      </c>
      <c r="K228" s="82">
        <v>45867</v>
      </c>
      <c r="L228" s="81">
        <f t="shared" si="9"/>
        <v>24</v>
      </c>
      <c r="M228" s="5">
        <f t="shared" si="10"/>
        <v>40198.559999999998</v>
      </c>
      <c r="N228" s="5">
        <f t="shared" si="11"/>
        <v>1674.9399999999998</v>
      </c>
      <c r="O228" s="15" t="s">
        <v>2064</v>
      </c>
      <c r="P228" s="5" t="s">
        <v>2065</v>
      </c>
      <c r="Q228" s="5" t="s">
        <v>2554</v>
      </c>
      <c r="R228" s="38"/>
    </row>
    <row r="229" spans="1:18" ht="28.8">
      <c r="A229" s="5">
        <v>228</v>
      </c>
      <c r="B229" s="5" t="s">
        <v>2066</v>
      </c>
      <c r="C229" s="15" t="s">
        <v>2067</v>
      </c>
      <c r="D229" s="27" t="s">
        <v>2068</v>
      </c>
      <c r="E229" s="5">
        <v>24</v>
      </c>
      <c r="F229" s="5">
        <v>626</v>
      </c>
      <c r="G229" s="9" t="s">
        <v>2550</v>
      </c>
      <c r="H229" s="9">
        <v>2018</v>
      </c>
      <c r="I229" s="9">
        <v>0.83</v>
      </c>
      <c r="J229" s="82">
        <v>45127</v>
      </c>
      <c r="K229" s="82">
        <v>45867</v>
      </c>
      <c r="L229" s="81">
        <f t="shared" si="9"/>
        <v>24</v>
      </c>
      <c r="M229" s="5">
        <f t="shared" si="10"/>
        <v>40198.559999999998</v>
      </c>
      <c r="N229" s="5">
        <f t="shared" si="11"/>
        <v>1674.9399999999998</v>
      </c>
      <c r="O229" s="28" t="s">
        <v>2069</v>
      </c>
      <c r="P229" s="5" t="s">
        <v>2070</v>
      </c>
      <c r="Q229" s="5" t="s">
        <v>2555</v>
      </c>
      <c r="R229" s="38"/>
    </row>
    <row r="230" spans="1:18">
      <c r="A230" s="9">
        <v>229</v>
      </c>
      <c r="B230" s="5">
        <v>71235</v>
      </c>
      <c r="C230" s="15" t="s">
        <v>2071</v>
      </c>
      <c r="D230" s="27" t="s">
        <v>2072</v>
      </c>
      <c r="E230" s="5">
        <v>24</v>
      </c>
      <c r="F230" s="5">
        <v>627</v>
      </c>
      <c r="G230" s="9" t="s">
        <v>2550</v>
      </c>
      <c r="H230" s="9">
        <v>2018</v>
      </c>
      <c r="I230" s="9">
        <v>0.83</v>
      </c>
      <c r="J230" s="82">
        <v>45127</v>
      </c>
      <c r="K230" s="82">
        <v>45867</v>
      </c>
      <c r="L230" s="81">
        <f t="shared" si="9"/>
        <v>24</v>
      </c>
      <c r="M230" s="5">
        <f t="shared" si="10"/>
        <v>40198.559999999998</v>
      </c>
      <c r="N230" s="5">
        <f t="shared" si="11"/>
        <v>1674.9399999999998</v>
      </c>
      <c r="O230" s="15" t="s">
        <v>2073</v>
      </c>
      <c r="P230" s="5" t="s">
        <v>2074</v>
      </c>
      <c r="Q230" s="5" t="s">
        <v>2554</v>
      </c>
      <c r="R230" s="38"/>
    </row>
    <row r="231" spans="1:18">
      <c r="A231" s="5">
        <v>230</v>
      </c>
      <c r="B231" s="5" t="s">
        <v>2075</v>
      </c>
      <c r="C231" s="15" t="s">
        <v>2076</v>
      </c>
      <c r="D231" s="27" t="s">
        <v>2077</v>
      </c>
      <c r="E231" s="5">
        <v>24</v>
      </c>
      <c r="F231" s="5">
        <v>628</v>
      </c>
      <c r="G231" s="9" t="s">
        <v>2550</v>
      </c>
      <c r="H231" s="9">
        <v>2018</v>
      </c>
      <c r="I231" s="9">
        <v>0.83</v>
      </c>
      <c r="J231" s="82">
        <v>45127</v>
      </c>
      <c r="K231" s="82">
        <v>45867</v>
      </c>
      <c r="L231" s="81">
        <f t="shared" si="9"/>
        <v>24</v>
      </c>
      <c r="M231" s="5">
        <f t="shared" si="10"/>
        <v>40198.559999999998</v>
      </c>
      <c r="N231" s="5">
        <f t="shared" si="11"/>
        <v>1674.9399999999998</v>
      </c>
      <c r="O231" s="15" t="s">
        <v>2078</v>
      </c>
      <c r="P231" s="5" t="s">
        <v>2079</v>
      </c>
      <c r="Q231" s="5" t="s">
        <v>2555</v>
      </c>
      <c r="R231" s="38"/>
    </row>
    <row r="232" spans="1:18" ht="28.8">
      <c r="A232" s="5">
        <v>231</v>
      </c>
      <c r="B232" s="5">
        <v>71165</v>
      </c>
      <c r="C232" s="15" t="s">
        <v>2080</v>
      </c>
      <c r="D232" s="27" t="s">
        <v>2081</v>
      </c>
      <c r="E232" s="5">
        <v>26</v>
      </c>
      <c r="F232" s="5">
        <v>629</v>
      </c>
      <c r="G232" s="9" t="s">
        <v>2550</v>
      </c>
      <c r="H232" s="9">
        <v>2018</v>
      </c>
      <c r="I232" s="9">
        <v>0.83</v>
      </c>
      <c r="J232" s="82">
        <v>45127</v>
      </c>
      <c r="K232" s="82">
        <v>45867</v>
      </c>
      <c r="L232" s="81">
        <f t="shared" si="9"/>
        <v>24</v>
      </c>
      <c r="M232" s="5">
        <f t="shared" si="10"/>
        <v>40198.559999999998</v>
      </c>
      <c r="N232" s="5">
        <f t="shared" si="11"/>
        <v>1674.9399999999998</v>
      </c>
      <c r="O232" s="15" t="s">
        <v>2082</v>
      </c>
      <c r="P232" s="5" t="s">
        <v>2083</v>
      </c>
      <c r="Q232" s="5" t="s">
        <v>2555</v>
      </c>
      <c r="R232" s="38"/>
    </row>
    <row r="233" spans="1:18" ht="28.8">
      <c r="A233" s="68">
        <v>232</v>
      </c>
      <c r="B233" s="57">
        <v>71247</v>
      </c>
      <c r="C233" s="58" t="s">
        <v>2084</v>
      </c>
      <c r="D233" s="59" t="s">
        <v>2085</v>
      </c>
      <c r="E233" s="57">
        <v>26</v>
      </c>
      <c r="F233" s="57">
        <v>630</v>
      </c>
      <c r="G233" s="68" t="s">
        <v>2550</v>
      </c>
      <c r="H233" s="9">
        <v>2018</v>
      </c>
      <c r="I233" s="9">
        <v>0.83</v>
      </c>
      <c r="J233" s="82">
        <v>45127</v>
      </c>
      <c r="K233" s="82">
        <v>45867</v>
      </c>
      <c r="L233" s="81">
        <f t="shared" si="9"/>
        <v>24</v>
      </c>
      <c r="M233" s="5">
        <f t="shared" si="10"/>
        <v>40198.559999999998</v>
      </c>
      <c r="N233" s="5">
        <f t="shared" si="11"/>
        <v>1674.9399999999998</v>
      </c>
      <c r="O233" s="58" t="s">
        <v>2086</v>
      </c>
      <c r="P233" s="57" t="s">
        <v>2087</v>
      </c>
      <c r="Q233" s="57" t="s">
        <v>2557</v>
      </c>
      <c r="R233" s="60"/>
    </row>
    <row r="234" spans="1:18">
      <c r="A234" s="5">
        <v>233</v>
      </c>
      <c r="B234" s="5" t="s">
        <v>2088</v>
      </c>
      <c r="C234" s="15" t="s">
        <v>2089</v>
      </c>
      <c r="D234" s="27" t="s">
        <v>631</v>
      </c>
      <c r="E234" s="5">
        <v>26</v>
      </c>
      <c r="F234" s="5">
        <v>631</v>
      </c>
      <c r="G234" s="9" t="s">
        <v>2550</v>
      </c>
      <c r="H234" s="9">
        <v>2018</v>
      </c>
      <c r="I234" s="9">
        <v>0.83</v>
      </c>
      <c r="J234" s="82">
        <v>45127</v>
      </c>
      <c r="K234" s="82">
        <v>45867</v>
      </c>
      <c r="L234" s="81">
        <f t="shared" si="9"/>
        <v>24</v>
      </c>
      <c r="M234" s="5">
        <f t="shared" si="10"/>
        <v>40198.559999999998</v>
      </c>
      <c r="N234" s="5">
        <f t="shared" si="11"/>
        <v>1674.9399999999998</v>
      </c>
      <c r="O234" s="15" t="s">
        <v>632</v>
      </c>
      <c r="P234" s="5" t="s">
        <v>633</v>
      </c>
      <c r="Q234" s="5" t="s">
        <v>2557</v>
      </c>
      <c r="R234" s="38"/>
    </row>
    <row r="235" spans="1:18">
      <c r="A235" s="16">
        <v>234</v>
      </c>
      <c r="B235" s="16" t="s">
        <v>2090</v>
      </c>
      <c r="C235" s="30" t="s">
        <v>2091</v>
      </c>
      <c r="D235" s="44" t="s">
        <v>2092</v>
      </c>
      <c r="E235" s="16">
        <v>26</v>
      </c>
      <c r="F235" s="16">
        <v>632</v>
      </c>
      <c r="G235" s="9" t="s">
        <v>2550</v>
      </c>
      <c r="H235" s="9">
        <v>2018</v>
      </c>
      <c r="I235" s="9">
        <v>0.83</v>
      </c>
      <c r="J235" s="82">
        <v>45127</v>
      </c>
      <c r="K235" s="82">
        <v>45867</v>
      </c>
      <c r="L235" s="81">
        <f t="shared" si="9"/>
        <v>24</v>
      </c>
      <c r="M235" s="5">
        <f t="shared" si="10"/>
        <v>40198.559999999998</v>
      </c>
      <c r="N235" s="5">
        <f t="shared" si="11"/>
        <v>1674.9399999999998</v>
      </c>
      <c r="O235" s="45" t="s">
        <v>2093</v>
      </c>
      <c r="P235" s="16" t="s">
        <v>1548</v>
      </c>
      <c r="Q235" s="5" t="s">
        <v>2554</v>
      </c>
      <c r="R235" s="38"/>
    </row>
    <row r="236" spans="1:18">
      <c r="A236" s="9">
        <v>235</v>
      </c>
      <c r="B236" s="5" t="s">
        <v>2094</v>
      </c>
      <c r="C236" s="15" t="s">
        <v>2095</v>
      </c>
      <c r="D236" s="27" t="s">
        <v>2096</v>
      </c>
      <c r="E236" s="5">
        <v>23</v>
      </c>
      <c r="F236" s="5">
        <v>633</v>
      </c>
      <c r="G236" s="9" t="s">
        <v>2550</v>
      </c>
      <c r="H236" s="9">
        <v>2018</v>
      </c>
      <c r="I236" s="9">
        <v>0.83</v>
      </c>
      <c r="J236" s="82">
        <v>45127</v>
      </c>
      <c r="K236" s="82">
        <v>45867</v>
      </c>
      <c r="L236" s="81">
        <f t="shared" si="9"/>
        <v>24</v>
      </c>
      <c r="M236" s="5">
        <f t="shared" si="10"/>
        <v>40198.559999999998</v>
      </c>
      <c r="N236" s="5">
        <f t="shared" si="11"/>
        <v>1674.9399999999998</v>
      </c>
      <c r="O236" s="15" t="s">
        <v>2097</v>
      </c>
      <c r="P236" s="5" t="s">
        <v>2098</v>
      </c>
      <c r="Q236" s="5" t="s">
        <v>2557</v>
      </c>
      <c r="R236" s="38"/>
    </row>
    <row r="237" spans="1:18" ht="43.2">
      <c r="A237" s="57">
        <v>236</v>
      </c>
      <c r="B237" s="57" t="s">
        <v>2099</v>
      </c>
      <c r="C237" s="58" t="s">
        <v>2100</v>
      </c>
      <c r="D237" s="59" t="s">
        <v>2101</v>
      </c>
      <c r="E237" s="57">
        <v>23</v>
      </c>
      <c r="F237" s="57">
        <v>634</v>
      </c>
      <c r="G237" s="68" t="s">
        <v>2550</v>
      </c>
      <c r="H237" s="9">
        <v>2018</v>
      </c>
      <c r="I237" s="9">
        <v>0.83</v>
      </c>
      <c r="J237" s="82">
        <v>45127</v>
      </c>
      <c r="K237" s="82">
        <v>45867</v>
      </c>
      <c r="L237" s="81">
        <f t="shared" si="9"/>
        <v>24</v>
      </c>
      <c r="M237" s="5">
        <f t="shared" si="10"/>
        <v>40198.559999999998</v>
      </c>
      <c r="N237" s="5">
        <f t="shared" si="11"/>
        <v>1674.9399999999998</v>
      </c>
      <c r="O237" s="63" t="s">
        <v>2102</v>
      </c>
      <c r="P237" s="57" t="s">
        <v>2103</v>
      </c>
      <c r="Q237" s="5" t="s">
        <v>2555</v>
      </c>
      <c r="R237" s="60"/>
    </row>
    <row r="238" spans="1:18" ht="28.8">
      <c r="A238" s="5">
        <v>237</v>
      </c>
      <c r="B238" s="5" t="s">
        <v>2104</v>
      </c>
      <c r="C238" s="15" t="s">
        <v>2105</v>
      </c>
      <c r="D238" s="27" t="s">
        <v>2106</v>
      </c>
      <c r="E238" s="5">
        <v>23</v>
      </c>
      <c r="F238" s="5">
        <v>635</v>
      </c>
      <c r="G238" s="9" t="s">
        <v>2550</v>
      </c>
      <c r="H238" s="9">
        <v>2018</v>
      </c>
      <c r="I238" s="9">
        <v>0.83</v>
      </c>
      <c r="J238" s="82">
        <v>45127</v>
      </c>
      <c r="K238" s="82">
        <v>45867</v>
      </c>
      <c r="L238" s="81">
        <f t="shared" si="9"/>
        <v>24</v>
      </c>
      <c r="M238" s="5">
        <f t="shared" si="10"/>
        <v>40198.559999999998</v>
      </c>
      <c r="N238" s="5">
        <f t="shared" si="11"/>
        <v>1674.9399999999998</v>
      </c>
      <c r="O238" s="28" t="s">
        <v>2107</v>
      </c>
      <c r="P238" s="5" t="s">
        <v>2108</v>
      </c>
      <c r="Q238" s="5" t="s">
        <v>2555</v>
      </c>
      <c r="R238" s="38"/>
    </row>
    <row r="239" spans="1:18">
      <c r="A239" s="9">
        <v>238</v>
      </c>
      <c r="B239" s="5">
        <v>71218</v>
      </c>
      <c r="C239" s="15" t="s">
        <v>2109</v>
      </c>
      <c r="D239" s="27" t="s">
        <v>2110</v>
      </c>
      <c r="E239" s="5">
        <v>23</v>
      </c>
      <c r="F239" s="5">
        <v>636</v>
      </c>
      <c r="G239" s="9" t="s">
        <v>2550</v>
      </c>
      <c r="H239" s="9">
        <v>2018</v>
      </c>
      <c r="I239" s="9">
        <v>0.83</v>
      </c>
      <c r="J239" s="82">
        <v>45127</v>
      </c>
      <c r="K239" s="82">
        <v>45867</v>
      </c>
      <c r="L239" s="81">
        <f t="shared" si="9"/>
        <v>24</v>
      </c>
      <c r="M239" s="5">
        <f t="shared" si="10"/>
        <v>40198.559999999998</v>
      </c>
      <c r="N239" s="5">
        <f t="shared" si="11"/>
        <v>1674.9399999999998</v>
      </c>
      <c r="O239" s="15" t="s">
        <v>2111</v>
      </c>
      <c r="P239" s="5"/>
      <c r="Q239" s="5" t="s">
        <v>2555</v>
      </c>
      <c r="R239" s="38"/>
    </row>
    <row r="240" spans="1:18">
      <c r="A240" s="5">
        <v>239</v>
      </c>
      <c r="B240" s="5">
        <v>71062</v>
      </c>
      <c r="C240" s="15" t="s">
        <v>2112</v>
      </c>
      <c r="D240" s="27" t="s">
        <v>2113</v>
      </c>
      <c r="E240" s="5">
        <v>23</v>
      </c>
      <c r="F240" s="5">
        <v>637</v>
      </c>
      <c r="G240" s="9" t="s">
        <v>2550</v>
      </c>
      <c r="H240" s="9">
        <v>2018</v>
      </c>
      <c r="I240" s="9">
        <v>0.83</v>
      </c>
      <c r="J240" s="82">
        <v>45127</v>
      </c>
      <c r="K240" s="82">
        <v>45867</v>
      </c>
      <c r="L240" s="81">
        <f t="shared" si="9"/>
        <v>24</v>
      </c>
      <c r="M240" s="5">
        <f t="shared" si="10"/>
        <v>40198.559999999998</v>
      </c>
      <c r="N240" s="5">
        <f t="shared" si="11"/>
        <v>1674.9399999999998</v>
      </c>
      <c r="O240" s="15" t="s">
        <v>2114</v>
      </c>
      <c r="P240" s="5" t="s">
        <v>2115</v>
      </c>
      <c r="Q240" s="5" t="s">
        <v>2557</v>
      </c>
      <c r="R240" s="38"/>
    </row>
    <row r="241" spans="1:18">
      <c r="A241" s="5">
        <v>240</v>
      </c>
      <c r="B241" s="5" t="s">
        <v>2116</v>
      </c>
      <c r="C241" s="15" t="s">
        <v>2117</v>
      </c>
      <c r="D241" s="27" t="s">
        <v>2118</v>
      </c>
      <c r="E241" s="5">
        <v>23</v>
      </c>
      <c r="F241" s="5">
        <v>638</v>
      </c>
      <c r="G241" s="9" t="s">
        <v>2550</v>
      </c>
      <c r="H241" s="9">
        <v>2018</v>
      </c>
      <c r="I241" s="9">
        <v>0.83</v>
      </c>
      <c r="J241" s="82">
        <v>45127</v>
      </c>
      <c r="K241" s="82">
        <v>45867</v>
      </c>
      <c r="L241" s="81">
        <f t="shared" si="9"/>
        <v>24</v>
      </c>
      <c r="M241" s="5">
        <f t="shared" si="10"/>
        <v>40198.559999999998</v>
      </c>
      <c r="N241" s="5">
        <f t="shared" si="11"/>
        <v>1674.9399999999998</v>
      </c>
      <c r="O241" s="15" t="s">
        <v>2119</v>
      </c>
      <c r="P241" s="5" t="s">
        <v>2120</v>
      </c>
      <c r="Q241" s="5" t="s">
        <v>2555</v>
      </c>
      <c r="R241" s="38"/>
    </row>
    <row r="242" spans="1:18" ht="28.8">
      <c r="A242" s="9">
        <v>241</v>
      </c>
      <c r="B242" s="5" t="s">
        <v>2121</v>
      </c>
      <c r="C242" s="15" t="s">
        <v>2122</v>
      </c>
      <c r="D242" s="27" t="s">
        <v>2123</v>
      </c>
      <c r="E242" s="5">
        <v>22</v>
      </c>
      <c r="F242" s="5">
        <v>639</v>
      </c>
      <c r="G242" s="9" t="s">
        <v>2550</v>
      </c>
      <c r="H242" s="9">
        <v>2018</v>
      </c>
      <c r="I242" s="9">
        <v>0.83</v>
      </c>
      <c r="J242" s="82">
        <v>45127</v>
      </c>
      <c r="K242" s="82">
        <v>45867</v>
      </c>
      <c r="L242" s="81">
        <f t="shared" si="9"/>
        <v>24</v>
      </c>
      <c r="M242" s="5">
        <f t="shared" si="10"/>
        <v>40198.559999999998</v>
      </c>
      <c r="N242" s="5">
        <f t="shared" si="11"/>
        <v>1674.9399999999998</v>
      </c>
      <c r="O242" s="15" t="s">
        <v>2124</v>
      </c>
      <c r="P242" s="5" t="s">
        <v>2125</v>
      </c>
      <c r="Q242" s="5" t="s">
        <v>2555</v>
      </c>
      <c r="R242" s="38"/>
    </row>
    <row r="243" spans="1:18">
      <c r="A243" s="5">
        <v>242</v>
      </c>
      <c r="B243" s="5" t="s">
        <v>2126</v>
      </c>
      <c r="C243" s="15" t="s">
        <v>1370</v>
      </c>
      <c r="D243" s="27" t="s">
        <v>1371</v>
      </c>
      <c r="E243" s="5">
        <v>22</v>
      </c>
      <c r="F243" s="5">
        <v>640</v>
      </c>
      <c r="G243" s="9" t="s">
        <v>2550</v>
      </c>
      <c r="H243" s="9">
        <v>2018</v>
      </c>
      <c r="I243" s="9">
        <v>0.83</v>
      </c>
      <c r="J243" s="82">
        <v>45127</v>
      </c>
      <c r="K243" s="82">
        <v>45867</v>
      </c>
      <c r="L243" s="81">
        <f t="shared" si="9"/>
        <v>24</v>
      </c>
      <c r="M243" s="5">
        <f t="shared" si="10"/>
        <v>40198.559999999998</v>
      </c>
      <c r="N243" s="5">
        <f t="shared" si="11"/>
        <v>1674.9399999999998</v>
      </c>
      <c r="O243" s="28" t="s">
        <v>2127</v>
      </c>
      <c r="P243" s="5" t="s">
        <v>1373</v>
      </c>
      <c r="Q243" s="5" t="s">
        <v>2555</v>
      </c>
      <c r="R243" s="38"/>
    </row>
    <row r="244" spans="1:18" ht="28.8">
      <c r="A244" s="5">
        <v>243</v>
      </c>
      <c r="B244" s="5" t="s">
        <v>2128</v>
      </c>
      <c r="C244" s="15" t="s">
        <v>2129</v>
      </c>
      <c r="D244" s="27" t="s">
        <v>2130</v>
      </c>
      <c r="E244" s="5">
        <v>22</v>
      </c>
      <c r="F244" s="5">
        <v>641</v>
      </c>
      <c r="G244" s="9" t="s">
        <v>2550</v>
      </c>
      <c r="H244" s="9">
        <v>2018</v>
      </c>
      <c r="I244" s="9">
        <v>0.83</v>
      </c>
      <c r="J244" s="82">
        <v>45127</v>
      </c>
      <c r="K244" s="82">
        <v>45867</v>
      </c>
      <c r="L244" s="81">
        <f t="shared" si="9"/>
        <v>24</v>
      </c>
      <c r="M244" s="5">
        <f t="shared" si="10"/>
        <v>40198.559999999998</v>
      </c>
      <c r="N244" s="5">
        <f t="shared" si="11"/>
        <v>1674.9399999999998</v>
      </c>
      <c r="O244" s="28" t="s">
        <v>2131</v>
      </c>
      <c r="P244" s="5" t="s">
        <v>2132</v>
      </c>
      <c r="Q244" s="5" t="s">
        <v>2555</v>
      </c>
      <c r="R244" s="38"/>
    </row>
    <row r="245" spans="1:18" ht="28.8">
      <c r="A245" s="9">
        <v>244</v>
      </c>
      <c r="B245" s="5" t="s">
        <v>2133</v>
      </c>
      <c r="C245" s="15" t="s">
        <v>2134</v>
      </c>
      <c r="D245" s="27" t="s">
        <v>2135</v>
      </c>
      <c r="E245" s="5">
        <v>22</v>
      </c>
      <c r="F245" s="5">
        <v>642</v>
      </c>
      <c r="G245" s="9" t="s">
        <v>2550</v>
      </c>
      <c r="H245" s="9">
        <v>2018</v>
      </c>
      <c r="I245" s="9">
        <v>0.83</v>
      </c>
      <c r="J245" s="82">
        <v>45127</v>
      </c>
      <c r="K245" s="82">
        <v>45867</v>
      </c>
      <c r="L245" s="81">
        <f t="shared" si="9"/>
        <v>24</v>
      </c>
      <c r="M245" s="5">
        <f t="shared" si="10"/>
        <v>40198.559999999998</v>
      </c>
      <c r="N245" s="5">
        <f t="shared" si="11"/>
        <v>1674.9399999999998</v>
      </c>
      <c r="O245" s="28" t="s">
        <v>2136</v>
      </c>
      <c r="P245" s="5" t="s">
        <v>2137</v>
      </c>
      <c r="Q245" s="5" t="s">
        <v>2555</v>
      </c>
      <c r="R245" s="38"/>
    </row>
    <row r="246" spans="1:18">
      <c r="A246" s="5">
        <v>245</v>
      </c>
      <c r="B246" s="5">
        <v>71355</v>
      </c>
      <c r="C246" s="15" t="s">
        <v>2138</v>
      </c>
      <c r="D246" s="27" t="s">
        <v>2139</v>
      </c>
      <c r="E246" s="5">
        <v>22</v>
      </c>
      <c r="F246" s="5">
        <v>643</v>
      </c>
      <c r="G246" s="9" t="s">
        <v>2550</v>
      </c>
      <c r="H246" s="9">
        <v>2018</v>
      </c>
      <c r="I246" s="9">
        <v>0.83</v>
      </c>
      <c r="J246" s="82">
        <v>45127</v>
      </c>
      <c r="K246" s="82">
        <v>45867</v>
      </c>
      <c r="L246" s="81">
        <f t="shared" si="9"/>
        <v>24</v>
      </c>
      <c r="M246" s="5">
        <f t="shared" si="10"/>
        <v>40198.559999999998</v>
      </c>
      <c r="N246" s="5">
        <f t="shared" si="11"/>
        <v>1674.9399999999998</v>
      </c>
      <c r="O246" s="15" t="s">
        <v>2140</v>
      </c>
      <c r="P246" s="5" t="s">
        <v>2141</v>
      </c>
      <c r="Q246" s="5" t="s">
        <v>2557</v>
      </c>
      <c r="R246" s="38"/>
    </row>
    <row r="247" spans="1:18">
      <c r="A247" s="5">
        <v>246</v>
      </c>
      <c r="B247" s="5" t="s">
        <v>2142</v>
      </c>
      <c r="C247" s="15" t="s">
        <v>2143</v>
      </c>
      <c r="D247" s="27" t="s">
        <v>2144</v>
      </c>
      <c r="E247" s="5">
        <v>22</v>
      </c>
      <c r="F247" s="5">
        <v>644</v>
      </c>
      <c r="G247" s="9" t="s">
        <v>2550</v>
      </c>
      <c r="H247" s="9">
        <v>2018</v>
      </c>
      <c r="I247" s="9">
        <v>0.83</v>
      </c>
      <c r="J247" s="82">
        <v>45127</v>
      </c>
      <c r="K247" s="82">
        <v>45867</v>
      </c>
      <c r="L247" s="81">
        <f t="shared" si="9"/>
        <v>24</v>
      </c>
      <c r="M247" s="5">
        <f t="shared" si="10"/>
        <v>40198.559999999998</v>
      </c>
      <c r="N247" s="5">
        <f t="shared" si="11"/>
        <v>1674.9399999999998</v>
      </c>
      <c r="O247" s="15" t="s">
        <v>2145</v>
      </c>
      <c r="P247" s="5" t="s">
        <v>2146</v>
      </c>
      <c r="Q247" s="5" t="s">
        <v>2557</v>
      </c>
      <c r="R247" s="38"/>
    </row>
    <row r="248" spans="1:18">
      <c r="A248" s="9">
        <v>247</v>
      </c>
      <c r="B248" s="5" t="s">
        <v>2147</v>
      </c>
      <c r="C248" s="15" t="s">
        <v>2148</v>
      </c>
      <c r="D248" s="27" t="s">
        <v>2149</v>
      </c>
      <c r="E248" s="5">
        <v>22</v>
      </c>
      <c r="F248" s="5">
        <v>645</v>
      </c>
      <c r="G248" s="9" t="s">
        <v>2550</v>
      </c>
      <c r="H248" s="9">
        <v>2018</v>
      </c>
      <c r="I248" s="9">
        <v>0.83</v>
      </c>
      <c r="J248" s="82">
        <v>45127</v>
      </c>
      <c r="K248" s="82">
        <v>45867</v>
      </c>
      <c r="L248" s="81">
        <f t="shared" si="9"/>
        <v>24</v>
      </c>
      <c r="M248" s="5">
        <f t="shared" si="10"/>
        <v>40198.559999999998</v>
      </c>
      <c r="N248" s="5">
        <f t="shared" si="11"/>
        <v>1674.9399999999998</v>
      </c>
      <c r="O248" s="15" t="s">
        <v>2150</v>
      </c>
      <c r="P248" s="5" t="s">
        <v>2151</v>
      </c>
      <c r="Q248" s="5" t="s">
        <v>2555</v>
      </c>
      <c r="R248" s="38"/>
    </row>
    <row r="249" spans="1:18">
      <c r="A249" s="5">
        <v>248</v>
      </c>
      <c r="B249" s="5" t="s">
        <v>2152</v>
      </c>
      <c r="C249" s="15" t="s">
        <v>2153</v>
      </c>
      <c r="D249" s="27" t="s">
        <v>2154</v>
      </c>
      <c r="E249" s="5">
        <v>22</v>
      </c>
      <c r="F249" s="5">
        <v>646</v>
      </c>
      <c r="G249" s="9" t="s">
        <v>2550</v>
      </c>
      <c r="H249" s="9">
        <v>2018</v>
      </c>
      <c r="I249" s="9">
        <v>0.83</v>
      </c>
      <c r="J249" s="82">
        <v>45127</v>
      </c>
      <c r="K249" s="82">
        <v>45867</v>
      </c>
      <c r="L249" s="81">
        <f t="shared" si="9"/>
        <v>24</v>
      </c>
      <c r="M249" s="5">
        <f t="shared" si="10"/>
        <v>40198.559999999998</v>
      </c>
      <c r="N249" s="5">
        <f t="shared" si="11"/>
        <v>1674.9399999999998</v>
      </c>
      <c r="O249" s="15" t="s">
        <v>2155</v>
      </c>
      <c r="P249" s="5" t="s">
        <v>2156</v>
      </c>
      <c r="Q249" s="5" t="s">
        <v>2557</v>
      </c>
      <c r="R249" s="38"/>
    </row>
    <row r="250" spans="1:18">
      <c r="A250" s="5">
        <v>249</v>
      </c>
      <c r="B250" s="5" t="s">
        <v>2157</v>
      </c>
      <c r="C250" s="15" t="s">
        <v>2158</v>
      </c>
      <c r="D250" s="27" t="s">
        <v>2159</v>
      </c>
      <c r="E250" s="5">
        <v>22</v>
      </c>
      <c r="F250" s="5">
        <v>647</v>
      </c>
      <c r="G250" s="9" t="s">
        <v>2550</v>
      </c>
      <c r="H250" s="9">
        <v>2018</v>
      </c>
      <c r="I250" s="9">
        <v>0.83</v>
      </c>
      <c r="J250" s="82">
        <v>45127</v>
      </c>
      <c r="K250" s="82">
        <v>45867</v>
      </c>
      <c r="L250" s="81">
        <f t="shared" si="9"/>
        <v>24</v>
      </c>
      <c r="M250" s="5">
        <f t="shared" si="10"/>
        <v>40198.559999999998</v>
      </c>
      <c r="N250" s="5">
        <f t="shared" si="11"/>
        <v>1674.9399999999998</v>
      </c>
      <c r="O250" s="15" t="s">
        <v>2160</v>
      </c>
      <c r="P250" s="5" t="s">
        <v>2161</v>
      </c>
      <c r="Q250" s="5" t="s">
        <v>2557</v>
      </c>
      <c r="R250" s="38"/>
    </row>
    <row r="251" spans="1:18">
      <c r="A251" s="9">
        <v>250</v>
      </c>
      <c r="B251" s="5">
        <v>71172</v>
      </c>
      <c r="C251" s="15" t="s">
        <v>2162</v>
      </c>
      <c r="D251" s="27" t="s">
        <v>2163</v>
      </c>
      <c r="E251" s="5">
        <v>22</v>
      </c>
      <c r="F251" s="5">
        <v>648</v>
      </c>
      <c r="G251" s="9" t="s">
        <v>2550</v>
      </c>
      <c r="H251" s="9">
        <v>2018</v>
      </c>
      <c r="I251" s="9">
        <v>0.83</v>
      </c>
      <c r="J251" s="82">
        <v>45127</v>
      </c>
      <c r="K251" s="82">
        <v>45867</v>
      </c>
      <c r="L251" s="81">
        <f t="shared" si="9"/>
        <v>24</v>
      </c>
      <c r="M251" s="5">
        <f t="shared" si="10"/>
        <v>40198.559999999998</v>
      </c>
      <c r="N251" s="5">
        <f t="shared" si="11"/>
        <v>1674.9399999999998</v>
      </c>
      <c r="O251" s="15" t="s">
        <v>2164</v>
      </c>
      <c r="P251" s="5" t="s">
        <v>1013</v>
      </c>
      <c r="Q251" s="5" t="s">
        <v>2555</v>
      </c>
      <c r="R251" s="38"/>
    </row>
    <row r="252" spans="1:18">
      <c r="A252" s="5">
        <v>251</v>
      </c>
      <c r="B252" s="5" t="s">
        <v>2165</v>
      </c>
      <c r="C252" s="15" t="s">
        <v>882</v>
      </c>
      <c r="D252" s="27" t="s">
        <v>641</v>
      </c>
      <c r="E252" s="5">
        <v>22</v>
      </c>
      <c r="F252" s="5">
        <v>649</v>
      </c>
      <c r="G252" s="9" t="s">
        <v>2550</v>
      </c>
      <c r="H252" s="9">
        <v>2018</v>
      </c>
      <c r="I252" s="9">
        <v>0.83</v>
      </c>
      <c r="J252" s="82">
        <v>45127</v>
      </c>
      <c r="K252" s="82">
        <v>45867</v>
      </c>
      <c r="L252" s="81">
        <f t="shared" si="9"/>
        <v>24</v>
      </c>
      <c r="M252" s="5">
        <f t="shared" si="10"/>
        <v>40198.559999999998</v>
      </c>
      <c r="N252" s="5">
        <f t="shared" si="11"/>
        <v>1674.9399999999998</v>
      </c>
      <c r="O252" s="28" t="s">
        <v>2166</v>
      </c>
      <c r="P252" s="5" t="s">
        <v>2167</v>
      </c>
      <c r="Q252" s="5" t="s">
        <v>2557</v>
      </c>
      <c r="R252" s="38"/>
    </row>
    <row r="253" spans="1:18">
      <c r="A253" s="5">
        <v>252</v>
      </c>
      <c r="B253" s="5" t="s">
        <v>2168</v>
      </c>
      <c r="C253" s="15" t="s">
        <v>2169</v>
      </c>
      <c r="D253" s="27" t="s">
        <v>2170</v>
      </c>
      <c r="E253" s="5">
        <v>22</v>
      </c>
      <c r="F253" s="5">
        <v>650</v>
      </c>
      <c r="G253" s="9" t="s">
        <v>2550</v>
      </c>
      <c r="H253" s="9">
        <v>2018</v>
      </c>
      <c r="I253" s="9">
        <v>0.83</v>
      </c>
      <c r="J253" s="82">
        <v>45127</v>
      </c>
      <c r="K253" s="82">
        <v>45867</v>
      </c>
      <c r="L253" s="81">
        <f t="shared" si="9"/>
        <v>24</v>
      </c>
      <c r="M253" s="5">
        <f t="shared" si="10"/>
        <v>40198.559999999998</v>
      </c>
      <c r="N253" s="5">
        <f t="shared" si="11"/>
        <v>1674.9399999999998</v>
      </c>
      <c r="O253" s="15" t="s">
        <v>2171</v>
      </c>
      <c r="P253" s="5" t="s">
        <v>2172</v>
      </c>
      <c r="Q253" s="5" t="s">
        <v>2555</v>
      </c>
      <c r="R253" s="38"/>
    </row>
    <row r="254" spans="1:18">
      <c r="A254" s="9">
        <v>253</v>
      </c>
      <c r="B254" s="5" t="s">
        <v>2454</v>
      </c>
      <c r="C254" s="15" t="s">
        <v>2453</v>
      </c>
      <c r="D254" s="27" t="s">
        <v>2455</v>
      </c>
      <c r="E254" s="5">
        <v>22</v>
      </c>
      <c r="F254" s="5">
        <v>651</v>
      </c>
      <c r="G254" s="9" t="s">
        <v>2550</v>
      </c>
      <c r="H254" s="9">
        <v>2018</v>
      </c>
      <c r="I254" s="9">
        <v>0.83</v>
      </c>
      <c r="J254" s="82">
        <v>45127</v>
      </c>
      <c r="K254" s="82">
        <v>45867</v>
      </c>
      <c r="L254" s="81">
        <f t="shared" si="9"/>
        <v>24</v>
      </c>
      <c r="M254" s="5">
        <f t="shared" si="10"/>
        <v>40198.559999999998</v>
      </c>
      <c r="N254" s="5">
        <f t="shared" si="11"/>
        <v>1674.9399999999998</v>
      </c>
      <c r="O254" s="28" t="s">
        <v>2456</v>
      </c>
      <c r="P254" s="5" t="s">
        <v>2457</v>
      </c>
      <c r="Q254" s="5" t="s">
        <v>2555</v>
      </c>
      <c r="R254" s="38"/>
    </row>
    <row r="255" spans="1:18" ht="28.8">
      <c r="A255" s="5">
        <v>254</v>
      </c>
      <c r="B255" s="5">
        <v>71056</v>
      </c>
      <c r="C255" s="15" t="s">
        <v>2173</v>
      </c>
      <c r="D255" s="27" t="s">
        <v>2174</v>
      </c>
      <c r="E255" s="5">
        <v>22</v>
      </c>
      <c r="F255" s="5">
        <v>652</v>
      </c>
      <c r="G255" s="9" t="s">
        <v>2550</v>
      </c>
      <c r="H255" s="9">
        <v>2018</v>
      </c>
      <c r="I255" s="9">
        <v>0.83</v>
      </c>
      <c r="J255" s="82">
        <v>45127</v>
      </c>
      <c r="K255" s="82">
        <v>45867</v>
      </c>
      <c r="L255" s="81">
        <f t="shared" si="9"/>
        <v>24</v>
      </c>
      <c r="M255" s="5">
        <f t="shared" si="10"/>
        <v>40198.559999999998</v>
      </c>
      <c r="N255" s="5">
        <f t="shared" si="11"/>
        <v>1674.9399999999998</v>
      </c>
      <c r="O255" s="15" t="s">
        <v>2175</v>
      </c>
      <c r="P255" s="5" t="s">
        <v>2176</v>
      </c>
      <c r="Q255" s="5" t="s">
        <v>2555</v>
      </c>
      <c r="R255" s="38"/>
    </row>
    <row r="256" spans="1:18">
      <c r="A256" s="5">
        <v>255</v>
      </c>
      <c r="B256" s="5">
        <v>71243</v>
      </c>
      <c r="C256" s="15" t="s">
        <v>2177</v>
      </c>
      <c r="D256" s="27" t="s">
        <v>2178</v>
      </c>
      <c r="E256" s="5">
        <v>22</v>
      </c>
      <c r="F256" s="5">
        <v>653</v>
      </c>
      <c r="G256" s="9" t="s">
        <v>2550</v>
      </c>
      <c r="H256" s="9">
        <v>2018</v>
      </c>
      <c r="I256" s="9">
        <v>0.83</v>
      </c>
      <c r="J256" s="82">
        <v>45127</v>
      </c>
      <c r="K256" s="82">
        <v>45867</v>
      </c>
      <c r="L256" s="81">
        <f t="shared" si="9"/>
        <v>24</v>
      </c>
      <c r="M256" s="5">
        <f t="shared" si="10"/>
        <v>40198.559999999998</v>
      </c>
      <c r="N256" s="5">
        <f t="shared" si="11"/>
        <v>1674.9399999999998</v>
      </c>
      <c r="O256" s="15" t="s">
        <v>2179</v>
      </c>
      <c r="P256" s="5" t="s">
        <v>2180</v>
      </c>
      <c r="Q256" s="5" t="s">
        <v>2557</v>
      </c>
      <c r="R256" s="38"/>
    </row>
    <row r="257" spans="1:18">
      <c r="A257" s="9">
        <v>256</v>
      </c>
      <c r="B257" s="5" t="s">
        <v>2181</v>
      </c>
      <c r="C257" s="15" t="s">
        <v>2182</v>
      </c>
      <c r="D257" s="27" t="s">
        <v>2183</v>
      </c>
      <c r="E257" s="5">
        <v>21</v>
      </c>
      <c r="F257" s="5">
        <v>654</v>
      </c>
      <c r="G257" s="9" t="s">
        <v>2550</v>
      </c>
      <c r="H257" s="9">
        <v>2018</v>
      </c>
      <c r="I257" s="9">
        <v>0.83</v>
      </c>
      <c r="J257" s="82">
        <v>45127</v>
      </c>
      <c r="K257" s="82">
        <v>45867</v>
      </c>
      <c r="L257" s="81">
        <f t="shared" si="9"/>
        <v>24</v>
      </c>
      <c r="M257" s="5">
        <f t="shared" si="10"/>
        <v>40198.559999999998</v>
      </c>
      <c r="N257" s="5">
        <f t="shared" si="11"/>
        <v>1674.9399999999998</v>
      </c>
      <c r="O257" s="15" t="s">
        <v>2184</v>
      </c>
      <c r="P257" s="5" t="s">
        <v>2185</v>
      </c>
      <c r="Q257" s="5" t="s">
        <v>2557</v>
      </c>
      <c r="R257" s="38"/>
    </row>
    <row r="258" spans="1:18">
      <c r="A258" s="5">
        <v>257</v>
      </c>
      <c r="B258" s="5" t="s">
        <v>2186</v>
      </c>
      <c r="C258" s="15" t="s">
        <v>2187</v>
      </c>
      <c r="D258" s="27" t="s">
        <v>2188</v>
      </c>
      <c r="E258" s="5">
        <v>21</v>
      </c>
      <c r="F258" s="5">
        <v>655</v>
      </c>
      <c r="G258" s="9" t="s">
        <v>2550</v>
      </c>
      <c r="H258" s="9">
        <v>2018</v>
      </c>
      <c r="I258" s="9">
        <v>0.83</v>
      </c>
      <c r="J258" s="82">
        <v>45127</v>
      </c>
      <c r="K258" s="82">
        <v>45867</v>
      </c>
      <c r="L258" s="81">
        <f t="shared" si="9"/>
        <v>24</v>
      </c>
      <c r="M258" s="5">
        <f t="shared" si="10"/>
        <v>40198.559999999998</v>
      </c>
      <c r="N258" s="5">
        <f t="shared" si="11"/>
        <v>1674.9399999999998</v>
      </c>
      <c r="O258" s="15" t="s">
        <v>2189</v>
      </c>
      <c r="P258" s="5" t="s">
        <v>2190</v>
      </c>
      <c r="Q258" s="5" t="s">
        <v>2555</v>
      </c>
      <c r="R258" s="38"/>
    </row>
    <row r="259" spans="1:18">
      <c r="A259" s="5">
        <v>258</v>
      </c>
      <c r="B259" s="5">
        <v>71222</v>
      </c>
      <c r="C259" s="15" t="s">
        <v>2191</v>
      </c>
      <c r="D259" s="27" t="s">
        <v>2192</v>
      </c>
      <c r="E259" s="5">
        <v>21</v>
      </c>
      <c r="F259" s="5">
        <v>656</v>
      </c>
      <c r="G259" s="9" t="s">
        <v>2550</v>
      </c>
      <c r="H259" s="9">
        <v>2018</v>
      </c>
      <c r="I259" s="9">
        <v>0.83</v>
      </c>
      <c r="J259" s="82">
        <v>45127</v>
      </c>
      <c r="K259" s="82">
        <v>45867</v>
      </c>
      <c r="L259" s="81">
        <f t="shared" ref="L259:L294" si="12">DATEDIF(J259,K259,"M")</f>
        <v>24</v>
      </c>
      <c r="M259" s="5">
        <f t="shared" ref="M259:M294" si="13">I259*H259*L259</f>
        <v>40198.559999999998</v>
      </c>
      <c r="N259" s="5">
        <f t="shared" ref="N259:N294" si="14">M259/24</f>
        <v>1674.9399999999998</v>
      </c>
      <c r="O259" s="15" t="s">
        <v>2193</v>
      </c>
      <c r="P259" s="5"/>
      <c r="Q259" s="5" t="s">
        <v>2555</v>
      </c>
      <c r="R259" s="38"/>
    </row>
    <row r="260" spans="1:18">
      <c r="A260" s="9">
        <v>259</v>
      </c>
      <c r="B260" s="5" t="s">
        <v>2194</v>
      </c>
      <c r="C260" s="15" t="s">
        <v>2195</v>
      </c>
      <c r="D260" s="27" t="s">
        <v>2196</v>
      </c>
      <c r="E260" s="5">
        <v>21</v>
      </c>
      <c r="F260" s="5">
        <v>657</v>
      </c>
      <c r="G260" s="9" t="s">
        <v>2550</v>
      </c>
      <c r="H260" s="9">
        <v>2018</v>
      </c>
      <c r="I260" s="9">
        <v>0.83</v>
      </c>
      <c r="J260" s="82">
        <v>45127</v>
      </c>
      <c r="K260" s="82">
        <v>45867</v>
      </c>
      <c r="L260" s="81">
        <f t="shared" si="12"/>
        <v>24</v>
      </c>
      <c r="M260" s="5">
        <f t="shared" si="13"/>
        <v>40198.559999999998</v>
      </c>
      <c r="N260" s="5">
        <f t="shared" si="14"/>
        <v>1674.9399999999998</v>
      </c>
      <c r="O260" s="28" t="s">
        <v>2197</v>
      </c>
      <c r="P260" s="5" t="s">
        <v>2198</v>
      </c>
      <c r="Q260" s="5" t="s">
        <v>2555</v>
      </c>
      <c r="R260" s="38"/>
    </row>
    <row r="261" spans="1:18">
      <c r="A261" s="5">
        <v>260</v>
      </c>
      <c r="B261" s="5" t="s">
        <v>2199</v>
      </c>
      <c r="C261" s="15" t="s">
        <v>2200</v>
      </c>
      <c r="D261" s="51" t="s">
        <v>2201</v>
      </c>
      <c r="E261" s="5">
        <v>21</v>
      </c>
      <c r="F261" s="5">
        <v>658</v>
      </c>
      <c r="G261" s="9" t="s">
        <v>2550</v>
      </c>
      <c r="H261" s="9">
        <v>2018</v>
      </c>
      <c r="I261" s="9">
        <v>0.83</v>
      </c>
      <c r="J261" s="82">
        <v>45127</v>
      </c>
      <c r="K261" s="82">
        <v>45867</v>
      </c>
      <c r="L261" s="81">
        <f t="shared" si="12"/>
        <v>24</v>
      </c>
      <c r="M261" s="5">
        <f t="shared" si="13"/>
        <v>40198.559999999998</v>
      </c>
      <c r="N261" s="5">
        <f t="shared" si="14"/>
        <v>1674.9399999999998</v>
      </c>
      <c r="O261" s="15" t="s">
        <v>2202</v>
      </c>
      <c r="P261" s="5" t="s">
        <v>2203</v>
      </c>
      <c r="Q261" s="5" t="s">
        <v>2555</v>
      </c>
      <c r="R261" s="38"/>
    </row>
    <row r="262" spans="1:18">
      <c r="A262" s="16">
        <v>261</v>
      </c>
      <c r="B262" s="16" t="s">
        <v>2204</v>
      </c>
      <c r="C262" s="30" t="s">
        <v>2205</v>
      </c>
      <c r="D262" s="27" t="s">
        <v>2206</v>
      </c>
      <c r="E262" s="5">
        <v>21</v>
      </c>
      <c r="F262" s="5">
        <v>659</v>
      </c>
      <c r="G262" s="9" t="s">
        <v>2550</v>
      </c>
      <c r="H262" s="9">
        <v>2018</v>
      </c>
      <c r="I262" s="9">
        <v>0.83</v>
      </c>
      <c r="J262" s="82">
        <v>45127</v>
      </c>
      <c r="K262" s="82">
        <v>45867</v>
      </c>
      <c r="L262" s="81">
        <f t="shared" si="12"/>
        <v>24</v>
      </c>
      <c r="M262" s="5">
        <f t="shared" si="13"/>
        <v>40198.559999999998</v>
      </c>
      <c r="N262" s="5">
        <f t="shared" si="14"/>
        <v>1674.9399999999998</v>
      </c>
      <c r="O262" s="28" t="s">
        <v>2207</v>
      </c>
      <c r="P262" s="5"/>
      <c r="Q262" s="5" t="s">
        <v>2555</v>
      </c>
      <c r="R262" s="38"/>
    </row>
    <row r="263" spans="1:18" ht="28.8">
      <c r="A263" s="9">
        <v>262</v>
      </c>
      <c r="B263" s="5" t="s">
        <v>2208</v>
      </c>
      <c r="C263" s="15" t="s">
        <v>2209</v>
      </c>
      <c r="D263" s="27" t="s">
        <v>2210</v>
      </c>
      <c r="E263" s="5">
        <v>21</v>
      </c>
      <c r="F263" s="5">
        <v>660</v>
      </c>
      <c r="G263" s="9" t="s">
        <v>2550</v>
      </c>
      <c r="H263" s="9">
        <v>2018</v>
      </c>
      <c r="I263" s="9">
        <v>0.83</v>
      </c>
      <c r="J263" s="82">
        <v>45127</v>
      </c>
      <c r="K263" s="82">
        <v>45867</v>
      </c>
      <c r="L263" s="81">
        <f t="shared" si="12"/>
        <v>24</v>
      </c>
      <c r="M263" s="5">
        <f t="shared" si="13"/>
        <v>40198.559999999998</v>
      </c>
      <c r="N263" s="5">
        <f t="shared" si="14"/>
        <v>1674.9399999999998</v>
      </c>
      <c r="O263" s="15" t="s">
        <v>2211</v>
      </c>
      <c r="P263" s="5" t="s">
        <v>2212</v>
      </c>
      <c r="Q263" s="5" t="s">
        <v>2555</v>
      </c>
      <c r="R263" s="38"/>
    </row>
    <row r="264" spans="1:18">
      <c r="A264" s="5">
        <v>263</v>
      </c>
      <c r="B264" s="5" t="s">
        <v>2213</v>
      </c>
      <c r="C264" s="15" t="s">
        <v>2214</v>
      </c>
      <c r="D264" s="27" t="s">
        <v>2215</v>
      </c>
      <c r="E264" s="5">
        <v>21</v>
      </c>
      <c r="F264" s="5">
        <v>661</v>
      </c>
      <c r="G264" s="9" t="s">
        <v>2550</v>
      </c>
      <c r="H264" s="9">
        <v>2018</v>
      </c>
      <c r="I264" s="9">
        <v>0.83</v>
      </c>
      <c r="J264" s="82">
        <v>45127</v>
      </c>
      <c r="K264" s="82">
        <v>45867</v>
      </c>
      <c r="L264" s="81">
        <f t="shared" si="12"/>
        <v>24</v>
      </c>
      <c r="M264" s="5">
        <f t="shared" si="13"/>
        <v>40198.559999999998</v>
      </c>
      <c r="N264" s="5">
        <f t="shared" si="14"/>
        <v>1674.9399999999998</v>
      </c>
      <c r="O264" s="28" t="s">
        <v>2216</v>
      </c>
      <c r="P264" s="5" t="s">
        <v>2217</v>
      </c>
      <c r="Q264" s="5" t="s">
        <v>2555</v>
      </c>
      <c r="R264" s="38"/>
    </row>
    <row r="265" spans="1:18" ht="28.8">
      <c r="A265" s="5">
        <v>264</v>
      </c>
      <c r="B265" s="5">
        <v>71329</v>
      </c>
      <c r="C265" s="15" t="s">
        <v>2218</v>
      </c>
      <c r="D265" s="27" t="s">
        <v>2219</v>
      </c>
      <c r="E265" s="5">
        <v>21</v>
      </c>
      <c r="F265" s="5">
        <v>662</v>
      </c>
      <c r="G265" s="9" t="s">
        <v>2550</v>
      </c>
      <c r="H265" s="9">
        <v>2018</v>
      </c>
      <c r="I265" s="9">
        <v>0.83</v>
      </c>
      <c r="J265" s="82">
        <v>45127</v>
      </c>
      <c r="K265" s="82">
        <v>45867</v>
      </c>
      <c r="L265" s="81">
        <f t="shared" si="12"/>
        <v>24</v>
      </c>
      <c r="M265" s="5">
        <f t="shared" si="13"/>
        <v>40198.559999999998</v>
      </c>
      <c r="N265" s="5">
        <f t="shared" si="14"/>
        <v>1674.9399999999998</v>
      </c>
      <c r="O265" s="15" t="s">
        <v>2220</v>
      </c>
      <c r="P265" s="5" t="s">
        <v>2221</v>
      </c>
      <c r="Q265" s="5" t="s">
        <v>2555</v>
      </c>
      <c r="R265" s="38"/>
    </row>
    <row r="266" spans="1:18">
      <c r="A266" s="9">
        <v>265</v>
      </c>
      <c r="B266" s="5" t="s">
        <v>2222</v>
      </c>
      <c r="C266" s="15" t="s">
        <v>2223</v>
      </c>
      <c r="D266" s="27" t="s">
        <v>2224</v>
      </c>
      <c r="E266" s="5">
        <v>21</v>
      </c>
      <c r="F266" s="5">
        <v>663</v>
      </c>
      <c r="G266" s="9" t="s">
        <v>2550</v>
      </c>
      <c r="H266" s="9">
        <v>2018</v>
      </c>
      <c r="I266" s="9">
        <v>0.83</v>
      </c>
      <c r="J266" s="82">
        <v>45127</v>
      </c>
      <c r="K266" s="82">
        <v>45867</v>
      </c>
      <c r="L266" s="81">
        <f t="shared" si="12"/>
        <v>24</v>
      </c>
      <c r="M266" s="5">
        <f t="shared" si="13"/>
        <v>40198.559999999998</v>
      </c>
      <c r="N266" s="5">
        <f t="shared" si="14"/>
        <v>1674.9399999999998</v>
      </c>
      <c r="O266" s="15" t="s">
        <v>2225</v>
      </c>
      <c r="P266" s="5" t="s">
        <v>2226</v>
      </c>
      <c r="Q266" s="5" t="s">
        <v>2554</v>
      </c>
      <c r="R266" s="38"/>
    </row>
    <row r="267" spans="1:18">
      <c r="A267" s="5">
        <v>266</v>
      </c>
      <c r="B267" s="5">
        <v>71150</v>
      </c>
      <c r="C267" s="15" t="s">
        <v>2227</v>
      </c>
      <c r="D267" s="27" t="s">
        <v>2228</v>
      </c>
      <c r="E267" s="5">
        <v>21</v>
      </c>
      <c r="F267" s="5">
        <v>664</v>
      </c>
      <c r="G267" s="9" t="s">
        <v>2550</v>
      </c>
      <c r="H267" s="9">
        <v>2018</v>
      </c>
      <c r="I267" s="9">
        <v>0.83</v>
      </c>
      <c r="J267" s="82">
        <v>45127</v>
      </c>
      <c r="K267" s="82">
        <v>45867</v>
      </c>
      <c r="L267" s="81">
        <f t="shared" si="12"/>
        <v>24</v>
      </c>
      <c r="M267" s="5">
        <f t="shared" si="13"/>
        <v>40198.559999999998</v>
      </c>
      <c r="N267" s="5">
        <f t="shared" si="14"/>
        <v>1674.9399999999998</v>
      </c>
      <c r="O267" s="15" t="s">
        <v>2229</v>
      </c>
      <c r="P267" s="5" t="s">
        <v>2230</v>
      </c>
      <c r="Q267" s="5" t="s">
        <v>2555</v>
      </c>
      <c r="R267" s="38"/>
    </row>
    <row r="268" spans="1:18">
      <c r="A268" s="5">
        <v>267</v>
      </c>
      <c r="B268" s="5" t="s">
        <v>2231</v>
      </c>
      <c r="C268" s="15" t="s">
        <v>2232</v>
      </c>
      <c r="D268" s="27" t="s">
        <v>2233</v>
      </c>
      <c r="E268" s="5">
        <v>21</v>
      </c>
      <c r="F268" s="5">
        <v>665</v>
      </c>
      <c r="G268" s="9" t="s">
        <v>2550</v>
      </c>
      <c r="H268" s="9">
        <v>2018</v>
      </c>
      <c r="I268" s="9">
        <v>0.83</v>
      </c>
      <c r="J268" s="82">
        <v>45127</v>
      </c>
      <c r="K268" s="82">
        <v>45867</v>
      </c>
      <c r="L268" s="81">
        <f t="shared" si="12"/>
        <v>24</v>
      </c>
      <c r="M268" s="5">
        <f t="shared" si="13"/>
        <v>40198.559999999998</v>
      </c>
      <c r="N268" s="5">
        <f t="shared" si="14"/>
        <v>1674.9399999999998</v>
      </c>
      <c r="O268" s="15" t="s">
        <v>2234</v>
      </c>
      <c r="P268" s="5" t="s">
        <v>2235</v>
      </c>
      <c r="Q268" s="5" t="s">
        <v>2557</v>
      </c>
      <c r="R268" s="38"/>
    </row>
    <row r="269" spans="1:18">
      <c r="A269" s="9">
        <v>268</v>
      </c>
      <c r="B269" s="5" t="s">
        <v>922</v>
      </c>
      <c r="C269" s="15" t="s">
        <v>2236</v>
      </c>
      <c r="D269" s="27" t="s">
        <v>2237</v>
      </c>
      <c r="E269" s="5">
        <v>21</v>
      </c>
      <c r="F269" s="5">
        <v>666</v>
      </c>
      <c r="G269" s="9" t="s">
        <v>2550</v>
      </c>
      <c r="H269" s="9">
        <v>2018</v>
      </c>
      <c r="I269" s="9">
        <v>0.83</v>
      </c>
      <c r="J269" s="82">
        <v>45127</v>
      </c>
      <c r="K269" s="82">
        <v>45867</v>
      </c>
      <c r="L269" s="81">
        <f t="shared" si="12"/>
        <v>24</v>
      </c>
      <c r="M269" s="5">
        <f t="shared" si="13"/>
        <v>40198.559999999998</v>
      </c>
      <c r="N269" s="5">
        <f t="shared" si="14"/>
        <v>1674.9399999999998</v>
      </c>
      <c r="O269" s="15" t="s">
        <v>2238</v>
      </c>
      <c r="P269" s="5" t="s">
        <v>2239</v>
      </c>
      <c r="Q269" s="5" t="s">
        <v>2555</v>
      </c>
      <c r="R269" s="38"/>
    </row>
    <row r="270" spans="1:18">
      <c r="A270" s="5">
        <v>269</v>
      </c>
      <c r="B270" s="5">
        <v>71002</v>
      </c>
      <c r="C270" s="15" t="s">
        <v>2240</v>
      </c>
      <c r="D270" s="27" t="s">
        <v>2241</v>
      </c>
      <c r="E270" s="5">
        <v>21</v>
      </c>
      <c r="F270" s="5">
        <v>667</v>
      </c>
      <c r="G270" s="9" t="s">
        <v>2550</v>
      </c>
      <c r="H270" s="9">
        <v>2018</v>
      </c>
      <c r="I270" s="9">
        <v>0.83</v>
      </c>
      <c r="J270" s="82">
        <v>45127</v>
      </c>
      <c r="K270" s="82">
        <v>45867</v>
      </c>
      <c r="L270" s="81">
        <f t="shared" si="12"/>
        <v>24</v>
      </c>
      <c r="M270" s="5">
        <f t="shared" si="13"/>
        <v>40198.559999999998</v>
      </c>
      <c r="N270" s="5">
        <f t="shared" si="14"/>
        <v>1674.9399999999998</v>
      </c>
      <c r="O270" s="15" t="s">
        <v>2242</v>
      </c>
      <c r="P270" s="5" t="s">
        <v>2243</v>
      </c>
      <c r="Q270" s="5" t="s">
        <v>2554</v>
      </c>
      <c r="R270" s="38"/>
    </row>
    <row r="271" spans="1:18">
      <c r="A271" s="5">
        <v>270</v>
      </c>
      <c r="B271" s="5" t="s">
        <v>2244</v>
      </c>
      <c r="C271" s="15" t="s">
        <v>2245</v>
      </c>
      <c r="D271" s="27" t="s">
        <v>2246</v>
      </c>
      <c r="E271" s="5">
        <v>21</v>
      </c>
      <c r="F271" s="5">
        <v>668</v>
      </c>
      <c r="G271" s="9" t="s">
        <v>2550</v>
      </c>
      <c r="H271" s="9">
        <v>2018</v>
      </c>
      <c r="I271" s="9">
        <v>0.83</v>
      </c>
      <c r="J271" s="82">
        <v>45127</v>
      </c>
      <c r="K271" s="82">
        <v>45867</v>
      </c>
      <c r="L271" s="81">
        <f t="shared" si="12"/>
        <v>24</v>
      </c>
      <c r="M271" s="5">
        <f t="shared" si="13"/>
        <v>40198.559999999998</v>
      </c>
      <c r="N271" s="5">
        <f t="shared" si="14"/>
        <v>1674.9399999999998</v>
      </c>
      <c r="O271" s="15" t="s">
        <v>2247</v>
      </c>
      <c r="P271" s="5" t="s">
        <v>2248</v>
      </c>
      <c r="Q271" s="5" t="s">
        <v>2555</v>
      </c>
      <c r="R271" s="38"/>
    </row>
    <row r="272" spans="1:18">
      <c r="A272" s="9">
        <v>271</v>
      </c>
      <c r="B272" s="5">
        <v>71371</v>
      </c>
      <c r="C272" s="15" t="s">
        <v>2249</v>
      </c>
      <c r="D272" s="27" t="s">
        <v>2250</v>
      </c>
      <c r="E272" s="5">
        <v>21</v>
      </c>
      <c r="F272" s="5">
        <v>669</v>
      </c>
      <c r="G272" s="9" t="s">
        <v>2550</v>
      </c>
      <c r="H272" s="9">
        <v>2018</v>
      </c>
      <c r="I272" s="9">
        <v>0.83</v>
      </c>
      <c r="J272" s="82">
        <v>45127</v>
      </c>
      <c r="K272" s="82">
        <v>45867</v>
      </c>
      <c r="L272" s="81">
        <f t="shared" si="12"/>
        <v>24</v>
      </c>
      <c r="M272" s="5">
        <f t="shared" si="13"/>
        <v>40198.559999999998</v>
      </c>
      <c r="N272" s="5">
        <f t="shared" si="14"/>
        <v>1674.9399999999998</v>
      </c>
      <c r="O272" s="28" t="s">
        <v>2251</v>
      </c>
      <c r="P272" s="5" t="s">
        <v>2252</v>
      </c>
      <c r="Q272" s="5" t="s">
        <v>2555</v>
      </c>
      <c r="R272" s="38"/>
    </row>
    <row r="273" spans="1:18" ht="28.8">
      <c r="A273" s="5">
        <v>272</v>
      </c>
      <c r="B273" s="5" t="s">
        <v>2253</v>
      </c>
      <c r="C273" s="15" t="s">
        <v>2254</v>
      </c>
      <c r="D273" s="27" t="s">
        <v>2255</v>
      </c>
      <c r="E273" s="5">
        <v>13</v>
      </c>
      <c r="F273" s="5">
        <v>670</v>
      </c>
      <c r="G273" s="9" t="s">
        <v>2550</v>
      </c>
      <c r="H273" s="9">
        <v>2018</v>
      </c>
      <c r="I273" s="9">
        <v>0.83</v>
      </c>
      <c r="J273" s="82">
        <v>45127</v>
      </c>
      <c r="K273" s="82">
        <v>45867</v>
      </c>
      <c r="L273" s="81">
        <f t="shared" si="12"/>
        <v>24</v>
      </c>
      <c r="M273" s="5">
        <f t="shared" si="13"/>
        <v>40198.559999999998</v>
      </c>
      <c r="N273" s="5">
        <f t="shared" si="14"/>
        <v>1674.9399999999998</v>
      </c>
      <c r="O273" s="15" t="s">
        <v>2256</v>
      </c>
      <c r="P273" s="5" t="s">
        <v>2257</v>
      </c>
      <c r="Q273" s="5" t="s">
        <v>2555</v>
      </c>
      <c r="R273" s="38"/>
    </row>
    <row r="274" spans="1:18" ht="28.8">
      <c r="A274" s="5">
        <v>273</v>
      </c>
      <c r="B274" s="5">
        <v>71088</v>
      </c>
      <c r="C274" s="15" t="s">
        <v>2258</v>
      </c>
      <c r="D274" s="27" t="s">
        <v>2259</v>
      </c>
      <c r="E274" s="5">
        <v>13</v>
      </c>
      <c r="F274" s="5">
        <v>671</v>
      </c>
      <c r="G274" s="9" t="s">
        <v>2550</v>
      </c>
      <c r="H274" s="9">
        <v>2018</v>
      </c>
      <c r="I274" s="9">
        <v>0.83</v>
      </c>
      <c r="J274" s="82">
        <v>45127</v>
      </c>
      <c r="K274" s="82">
        <v>45867</v>
      </c>
      <c r="L274" s="81">
        <f t="shared" si="12"/>
        <v>24</v>
      </c>
      <c r="M274" s="5">
        <f t="shared" si="13"/>
        <v>40198.559999999998</v>
      </c>
      <c r="N274" s="5">
        <f t="shared" si="14"/>
        <v>1674.9399999999998</v>
      </c>
      <c r="O274" s="15" t="s">
        <v>2260</v>
      </c>
      <c r="P274" s="5" t="s">
        <v>2261</v>
      </c>
      <c r="Q274" s="5" t="s">
        <v>2554</v>
      </c>
    </row>
    <row r="275" spans="1:18" ht="43.2">
      <c r="A275" s="68">
        <v>274</v>
      </c>
      <c r="B275" s="57" t="s">
        <v>2262</v>
      </c>
      <c r="C275" s="58" t="s">
        <v>2263</v>
      </c>
      <c r="D275" s="59" t="s">
        <v>2264</v>
      </c>
      <c r="E275" s="57">
        <v>13</v>
      </c>
      <c r="F275" s="57">
        <v>672</v>
      </c>
      <c r="G275" s="68" t="s">
        <v>2550</v>
      </c>
      <c r="H275" s="9">
        <v>2018</v>
      </c>
      <c r="I275" s="9">
        <v>0.83</v>
      </c>
      <c r="J275" s="82">
        <v>45127</v>
      </c>
      <c r="K275" s="82">
        <v>45867</v>
      </c>
      <c r="L275" s="81">
        <f t="shared" si="12"/>
        <v>24</v>
      </c>
      <c r="M275" s="5">
        <f t="shared" si="13"/>
        <v>40198.559999999998</v>
      </c>
      <c r="N275" s="5">
        <f t="shared" si="14"/>
        <v>1674.9399999999998</v>
      </c>
      <c r="O275" s="58" t="s">
        <v>2265</v>
      </c>
      <c r="P275" s="57" t="s">
        <v>2266</v>
      </c>
      <c r="Q275" s="5" t="s">
        <v>2555</v>
      </c>
      <c r="R275" s="60"/>
    </row>
    <row r="276" spans="1:18">
      <c r="A276" s="5">
        <v>275</v>
      </c>
      <c r="B276" s="5">
        <v>71219</v>
      </c>
      <c r="C276" s="15" t="s">
        <v>2267</v>
      </c>
      <c r="D276" s="27" t="s">
        <v>2268</v>
      </c>
      <c r="E276" s="5">
        <v>13</v>
      </c>
      <c r="F276" s="5">
        <v>673</v>
      </c>
      <c r="G276" s="9" t="s">
        <v>2550</v>
      </c>
      <c r="H276" s="9">
        <v>2018</v>
      </c>
      <c r="I276" s="9">
        <v>0.83</v>
      </c>
      <c r="J276" s="82">
        <v>45127</v>
      </c>
      <c r="K276" s="82">
        <v>45867</v>
      </c>
      <c r="L276" s="81">
        <f t="shared" si="12"/>
        <v>24</v>
      </c>
      <c r="M276" s="5">
        <f t="shared" si="13"/>
        <v>40198.559999999998</v>
      </c>
      <c r="N276" s="5">
        <f t="shared" si="14"/>
        <v>1674.9399999999998</v>
      </c>
      <c r="O276" s="15" t="s">
        <v>2269</v>
      </c>
      <c r="P276" s="5" t="s">
        <v>2270</v>
      </c>
      <c r="Q276" s="5" t="s">
        <v>2555</v>
      </c>
      <c r="R276" s="38"/>
    </row>
    <row r="277" spans="1:18">
      <c r="A277" s="5">
        <v>276</v>
      </c>
      <c r="B277" s="5">
        <v>71220</v>
      </c>
      <c r="C277" s="15" t="s">
        <v>2271</v>
      </c>
      <c r="D277" s="27" t="s">
        <v>2272</v>
      </c>
      <c r="E277" s="5">
        <v>13</v>
      </c>
      <c r="F277" s="5">
        <v>674</v>
      </c>
      <c r="G277" s="9" t="s">
        <v>2550</v>
      </c>
      <c r="H277" s="9">
        <v>2018</v>
      </c>
      <c r="I277" s="9">
        <v>0.83</v>
      </c>
      <c r="J277" s="82">
        <v>45127</v>
      </c>
      <c r="K277" s="82">
        <v>45867</v>
      </c>
      <c r="L277" s="81">
        <f t="shared" si="12"/>
        <v>24</v>
      </c>
      <c r="M277" s="5">
        <f t="shared" si="13"/>
        <v>40198.559999999998</v>
      </c>
      <c r="N277" s="5">
        <f t="shared" si="14"/>
        <v>1674.9399999999998</v>
      </c>
      <c r="O277" s="15" t="s">
        <v>2273</v>
      </c>
      <c r="P277" s="5" t="s">
        <v>2274</v>
      </c>
      <c r="Q277" s="5" t="s">
        <v>2555</v>
      </c>
      <c r="R277" s="38"/>
    </row>
    <row r="278" spans="1:18">
      <c r="A278" s="9">
        <v>277</v>
      </c>
      <c r="B278" s="5" t="s">
        <v>2399</v>
      </c>
      <c r="C278" s="15" t="s">
        <v>2398</v>
      </c>
      <c r="D278" s="46" t="s">
        <v>2400</v>
      </c>
      <c r="E278" s="5">
        <v>13</v>
      </c>
      <c r="F278" s="5">
        <v>675</v>
      </c>
      <c r="G278" s="9" t="s">
        <v>2550</v>
      </c>
      <c r="H278" s="9">
        <v>2018</v>
      </c>
      <c r="I278" s="9">
        <v>0.83</v>
      </c>
      <c r="J278" s="82">
        <v>45127</v>
      </c>
      <c r="K278" s="82">
        <v>45867</v>
      </c>
      <c r="L278" s="81">
        <f t="shared" si="12"/>
        <v>24</v>
      </c>
      <c r="M278" s="5">
        <f t="shared" si="13"/>
        <v>40198.559999999998</v>
      </c>
      <c r="N278" s="5">
        <f t="shared" si="14"/>
        <v>1674.9399999999998</v>
      </c>
      <c r="O278" s="47" t="s">
        <v>2401</v>
      </c>
      <c r="P278" s="48" t="s">
        <v>1032</v>
      </c>
      <c r="Q278" s="5" t="s">
        <v>2557</v>
      </c>
      <c r="R278" s="38"/>
    </row>
    <row r="279" spans="1:18" ht="28.8">
      <c r="A279" s="5">
        <v>278</v>
      </c>
      <c r="B279" s="5" t="s">
        <v>2458</v>
      </c>
      <c r="C279" s="15" t="s">
        <v>1348</v>
      </c>
      <c r="D279" s="27" t="s">
        <v>1349</v>
      </c>
      <c r="E279" s="5">
        <v>13</v>
      </c>
      <c r="F279" s="5">
        <v>676</v>
      </c>
      <c r="G279" s="9" t="s">
        <v>2550</v>
      </c>
      <c r="H279" s="9">
        <v>2018</v>
      </c>
      <c r="I279" s="9">
        <v>0.83</v>
      </c>
      <c r="J279" s="82">
        <v>45127</v>
      </c>
      <c r="K279" s="82">
        <v>45867</v>
      </c>
      <c r="L279" s="81">
        <f t="shared" si="12"/>
        <v>24</v>
      </c>
      <c r="M279" s="5">
        <f t="shared" si="13"/>
        <v>40198.559999999998</v>
      </c>
      <c r="N279" s="5">
        <f t="shared" si="14"/>
        <v>1674.9399999999998</v>
      </c>
      <c r="O279" s="28" t="s">
        <v>2459</v>
      </c>
      <c r="P279" s="5" t="s">
        <v>1518</v>
      </c>
      <c r="Q279" s="5" t="s">
        <v>2554</v>
      </c>
      <c r="R279" s="38"/>
    </row>
    <row r="280" spans="1:18">
      <c r="A280" s="5">
        <v>279</v>
      </c>
      <c r="B280" s="5" t="s">
        <v>2275</v>
      </c>
      <c r="C280" s="15" t="s">
        <v>2276</v>
      </c>
      <c r="D280" s="27" t="s">
        <v>2277</v>
      </c>
      <c r="E280" s="5">
        <v>13</v>
      </c>
      <c r="F280" s="5">
        <v>677</v>
      </c>
      <c r="G280" s="9" t="s">
        <v>2550</v>
      </c>
      <c r="H280" s="9">
        <v>2018</v>
      </c>
      <c r="I280" s="9">
        <v>0.83</v>
      </c>
      <c r="J280" s="82">
        <v>45127</v>
      </c>
      <c r="K280" s="82">
        <v>45867</v>
      </c>
      <c r="L280" s="81">
        <f t="shared" si="12"/>
        <v>24</v>
      </c>
      <c r="M280" s="5">
        <f t="shared" si="13"/>
        <v>40198.559999999998</v>
      </c>
      <c r="N280" s="5">
        <f t="shared" si="14"/>
        <v>1674.9399999999998</v>
      </c>
      <c r="O280" s="28" t="s">
        <v>2278</v>
      </c>
      <c r="P280" s="5" t="s">
        <v>2279</v>
      </c>
      <c r="Q280" s="5" t="s">
        <v>2555</v>
      </c>
      <c r="R280" s="38"/>
    </row>
    <row r="281" spans="1:18">
      <c r="A281" s="9">
        <v>280</v>
      </c>
      <c r="B281" s="5" t="s">
        <v>2280</v>
      </c>
      <c r="C281" s="15" t="s">
        <v>2281</v>
      </c>
      <c r="D281" s="27" t="s">
        <v>2282</v>
      </c>
      <c r="E281" s="5">
        <v>26</v>
      </c>
      <c r="F281" s="5">
        <v>678</v>
      </c>
      <c r="G281" s="9" t="s">
        <v>2550</v>
      </c>
      <c r="H281" s="9">
        <v>2018</v>
      </c>
      <c r="I281" s="9">
        <v>0.83</v>
      </c>
      <c r="J281" s="82">
        <v>45127</v>
      </c>
      <c r="K281" s="82">
        <v>45867</v>
      </c>
      <c r="L281" s="81">
        <f t="shared" si="12"/>
        <v>24</v>
      </c>
      <c r="M281" s="5">
        <f t="shared" si="13"/>
        <v>40198.559999999998</v>
      </c>
      <c r="N281" s="5">
        <f t="shared" si="14"/>
        <v>1674.9399999999998</v>
      </c>
      <c r="O281" s="15" t="s">
        <v>2283</v>
      </c>
      <c r="P281" s="5" t="s">
        <v>2284</v>
      </c>
      <c r="Q281" s="5" t="s">
        <v>2554</v>
      </c>
      <c r="R281" s="38"/>
    </row>
    <row r="282" spans="1:18" ht="28.8">
      <c r="A282" s="57">
        <v>281</v>
      </c>
      <c r="B282" s="57" t="s">
        <v>2285</v>
      </c>
      <c r="C282" s="58" t="s">
        <v>2286</v>
      </c>
      <c r="D282" s="59" t="s">
        <v>2287</v>
      </c>
      <c r="E282" s="57">
        <v>26</v>
      </c>
      <c r="F282" s="57">
        <v>679</v>
      </c>
      <c r="G282" s="68" t="s">
        <v>2550</v>
      </c>
      <c r="H282" s="9">
        <v>2018</v>
      </c>
      <c r="I282" s="9">
        <v>0.83</v>
      </c>
      <c r="J282" s="82">
        <v>45127</v>
      </c>
      <c r="K282" s="82">
        <v>45867</v>
      </c>
      <c r="L282" s="81">
        <f t="shared" si="12"/>
        <v>24</v>
      </c>
      <c r="M282" s="5">
        <f t="shared" si="13"/>
        <v>40198.559999999998</v>
      </c>
      <c r="N282" s="5">
        <f t="shared" si="14"/>
        <v>1674.9399999999998</v>
      </c>
      <c r="O282" s="63" t="s">
        <v>2288</v>
      </c>
      <c r="P282" s="57" t="s">
        <v>2289</v>
      </c>
      <c r="Q282" s="57" t="s">
        <v>2557</v>
      </c>
      <c r="R282" s="60"/>
    </row>
    <row r="283" spans="1:18">
      <c r="A283" s="5">
        <v>282</v>
      </c>
      <c r="B283" s="5" t="s">
        <v>2290</v>
      </c>
      <c r="C283" s="15" t="s">
        <v>2291</v>
      </c>
      <c r="D283" s="27" t="s">
        <v>2292</v>
      </c>
      <c r="E283" s="5">
        <v>26</v>
      </c>
      <c r="F283" s="5">
        <v>680</v>
      </c>
      <c r="G283" s="9" t="s">
        <v>2550</v>
      </c>
      <c r="H283" s="9">
        <v>2018</v>
      </c>
      <c r="I283" s="9">
        <v>0.83</v>
      </c>
      <c r="J283" s="82">
        <v>45127</v>
      </c>
      <c r="K283" s="82">
        <v>45867</v>
      </c>
      <c r="L283" s="81">
        <f t="shared" si="12"/>
        <v>24</v>
      </c>
      <c r="M283" s="5">
        <f t="shared" si="13"/>
        <v>40198.559999999998</v>
      </c>
      <c r="N283" s="5">
        <f t="shared" si="14"/>
        <v>1674.9399999999998</v>
      </c>
      <c r="O283" s="15" t="s">
        <v>2293</v>
      </c>
      <c r="P283" s="5" t="s">
        <v>2294</v>
      </c>
      <c r="Q283" s="5" t="s">
        <v>2557</v>
      </c>
      <c r="R283" s="38"/>
    </row>
    <row r="284" spans="1:18">
      <c r="A284" s="9">
        <v>283</v>
      </c>
      <c r="B284" s="5">
        <v>71324</v>
      </c>
      <c r="C284" s="15" t="s">
        <v>2295</v>
      </c>
      <c r="D284" s="27" t="s">
        <v>132</v>
      </c>
      <c r="E284" s="5">
        <v>26</v>
      </c>
      <c r="F284" s="5">
        <v>681</v>
      </c>
      <c r="G284" s="9" t="s">
        <v>2550</v>
      </c>
      <c r="H284" s="9">
        <v>2018</v>
      </c>
      <c r="I284" s="9">
        <v>0.83</v>
      </c>
      <c r="J284" s="82">
        <v>45127</v>
      </c>
      <c r="K284" s="82">
        <v>45867</v>
      </c>
      <c r="L284" s="81">
        <f t="shared" si="12"/>
        <v>24</v>
      </c>
      <c r="M284" s="5">
        <f t="shared" si="13"/>
        <v>40198.559999999998</v>
      </c>
      <c r="N284" s="5">
        <f t="shared" si="14"/>
        <v>1674.9399999999998</v>
      </c>
      <c r="O284" s="15" t="s">
        <v>2296</v>
      </c>
      <c r="P284" s="5" t="s">
        <v>134</v>
      </c>
      <c r="Q284" s="5" t="s">
        <v>2555</v>
      </c>
      <c r="R284" s="38"/>
    </row>
    <row r="285" spans="1:18">
      <c r="A285" s="5">
        <v>284</v>
      </c>
      <c r="B285" s="5" t="s">
        <v>2297</v>
      </c>
      <c r="C285" s="15" t="s">
        <v>2298</v>
      </c>
      <c r="D285" s="27" t="s">
        <v>2299</v>
      </c>
      <c r="E285" s="5">
        <v>24</v>
      </c>
      <c r="F285" s="5">
        <v>682</v>
      </c>
      <c r="G285" s="9" t="s">
        <v>2550</v>
      </c>
      <c r="H285" s="9">
        <v>2018</v>
      </c>
      <c r="I285" s="9">
        <v>0.83</v>
      </c>
      <c r="J285" s="82">
        <v>45127</v>
      </c>
      <c r="K285" s="82">
        <v>45867</v>
      </c>
      <c r="L285" s="81">
        <f t="shared" si="12"/>
        <v>24</v>
      </c>
      <c r="M285" s="5">
        <f t="shared" si="13"/>
        <v>40198.559999999998</v>
      </c>
      <c r="N285" s="5">
        <f t="shared" si="14"/>
        <v>1674.9399999999998</v>
      </c>
      <c r="O285" s="28" t="s">
        <v>2300</v>
      </c>
      <c r="P285" s="5" t="s">
        <v>2301</v>
      </c>
      <c r="Q285" s="5" t="s">
        <v>2554</v>
      </c>
      <c r="R285" s="38"/>
    </row>
    <row r="286" spans="1:18" ht="28.8">
      <c r="A286" s="5">
        <v>285</v>
      </c>
      <c r="B286" s="5">
        <v>71388</v>
      </c>
      <c r="C286" s="15" t="s">
        <v>2302</v>
      </c>
      <c r="D286" s="27" t="s">
        <v>2303</v>
      </c>
      <c r="E286" s="5">
        <v>27</v>
      </c>
      <c r="F286" s="5">
        <v>683</v>
      </c>
      <c r="G286" s="9" t="s">
        <v>2550</v>
      </c>
      <c r="H286" s="9">
        <v>2018</v>
      </c>
      <c r="I286" s="9">
        <v>0.83</v>
      </c>
      <c r="J286" s="82">
        <v>45127</v>
      </c>
      <c r="K286" s="82">
        <v>45867</v>
      </c>
      <c r="L286" s="81">
        <f t="shared" si="12"/>
        <v>24</v>
      </c>
      <c r="M286" s="5">
        <f t="shared" si="13"/>
        <v>40198.559999999998</v>
      </c>
      <c r="N286" s="5">
        <f t="shared" si="14"/>
        <v>1674.9399999999998</v>
      </c>
      <c r="O286" s="28" t="s">
        <v>2304</v>
      </c>
      <c r="P286" s="5" t="s">
        <v>2305</v>
      </c>
      <c r="Q286" s="5" t="s">
        <v>2554</v>
      </c>
      <c r="R286" s="38"/>
    </row>
    <row r="287" spans="1:18">
      <c r="A287" s="9">
        <v>286</v>
      </c>
      <c r="B287" s="5" t="s">
        <v>2306</v>
      </c>
      <c r="C287" s="15" t="s">
        <v>2307</v>
      </c>
      <c r="D287" s="27" t="s">
        <v>478</v>
      </c>
      <c r="E287" s="5">
        <v>27</v>
      </c>
      <c r="F287" s="5">
        <v>684</v>
      </c>
      <c r="G287" s="9" t="s">
        <v>2550</v>
      </c>
      <c r="H287" s="9">
        <v>2018</v>
      </c>
      <c r="I287" s="9">
        <v>0.83</v>
      </c>
      <c r="J287" s="82">
        <v>45127</v>
      </c>
      <c r="K287" s="82">
        <v>45867</v>
      </c>
      <c r="L287" s="81">
        <f t="shared" si="12"/>
        <v>24</v>
      </c>
      <c r="M287" s="5">
        <f t="shared" si="13"/>
        <v>40198.559999999998</v>
      </c>
      <c r="N287" s="5">
        <f t="shared" si="14"/>
        <v>1674.9399999999998</v>
      </c>
      <c r="O287" s="15" t="s">
        <v>2308</v>
      </c>
      <c r="P287" s="5" t="s">
        <v>2309</v>
      </c>
      <c r="Q287" s="5" t="s">
        <v>2555</v>
      </c>
      <c r="R287" s="38"/>
    </row>
    <row r="288" spans="1:18" ht="28.8">
      <c r="A288" s="5">
        <v>287</v>
      </c>
      <c r="B288" s="5">
        <v>71261</v>
      </c>
      <c r="C288" s="15" t="s">
        <v>2310</v>
      </c>
      <c r="D288" s="27" t="s">
        <v>2311</v>
      </c>
      <c r="E288" s="5">
        <v>27</v>
      </c>
      <c r="F288" s="5">
        <v>685</v>
      </c>
      <c r="G288" s="9" t="s">
        <v>2550</v>
      </c>
      <c r="H288" s="9">
        <v>2018</v>
      </c>
      <c r="I288" s="9">
        <v>0.83</v>
      </c>
      <c r="J288" s="82">
        <v>45127</v>
      </c>
      <c r="K288" s="82">
        <v>45867</v>
      </c>
      <c r="L288" s="81">
        <f t="shared" si="12"/>
        <v>24</v>
      </c>
      <c r="M288" s="5">
        <f t="shared" si="13"/>
        <v>40198.559999999998</v>
      </c>
      <c r="N288" s="5">
        <f t="shared" si="14"/>
        <v>1674.9399999999998</v>
      </c>
      <c r="O288" s="15" t="s">
        <v>2312</v>
      </c>
      <c r="P288" s="5" t="s">
        <v>2313</v>
      </c>
      <c r="Q288" s="5" t="s">
        <v>2554</v>
      </c>
      <c r="R288" s="38"/>
    </row>
    <row r="289" spans="1:18">
      <c r="A289" s="5">
        <v>288</v>
      </c>
      <c r="B289" s="5">
        <v>71246</v>
      </c>
      <c r="C289" s="15" t="s">
        <v>2314</v>
      </c>
      <c r="D289" s="27" t="s">
        <v>2315</v>
      </c>
      <c r="E289" s="5">
        <v>27</v>
      </c>
      <c r="F289" s="5">
        <v>686</v>
      </c>
      <c r="G289" s="9" t="s">
        <v>2550</v>
      </c>
      <c r="H289" s="9">
        <v>2018</v>
      </c>
      <c r="I289" s="9">
        <v>0.83</v>
      </c>
      <c r="J289" s="82">
        <v>45127</v>
      </c>
      <c r="K289" s="82">
        <v>45867</v>
      </c>
      <c r="L289" s="81">
        <f t="shared" si="12"/>
        <v>24</v>
      </c>
      <c r="M289" s="5">
        <f t="shared" si="13"/>
        <v>40198.559999999998</v>
      </c>
      <c r="N289" s="5">
        <f t="shared" si="14"/>
        <v>1674.9399999999998</v>
      </c>
      <c r="O289" s="15" t="s">
        <v>2316</v>
      </c>
      <c r="P289" s="5" t="s">
        <v>2317</v>
      </c>
      <c r="Q289" s="5" t="s">
        <v>2555</v>
      </c>
      <c r="R289" s="38"/>
    </row>
    <row r="290" spans="1:18">
      <c r="A290" s="9">
        <v>289</v>
      </c>
      <c r="B290" s="5" t="s">
        <v>2318</v>
      </c>
      <c r="C290" s="15" t="s">
        <v>2319</v>
      </c>
      <c r="D290" s="27" t="s">
        <v>2320</v>
      </c>
      <c r="E290" s="5">
        <v>27</v>
      </c>
      <c r="F290" s="5">
        <v>687</v>
      </c>
      <c r="G290" s="9" t="s">
        <v>2550</v>
      </c>
      <c r="H290" s="9">
        <v>2018</v>
      </c>
      <c r="I290" s="9">
        <v>0.83</v>
      </c>
      <c r="J290" s="82">
        <v>45127</v>
      </c>
      <c r="K290" s="82">
        <v>45867</v>
      </c>
      <c r="L290" s="81">
        <f t="shared" si="12"/>
        <v>24</v>
      </c>
      <c r="M290" s="5">
        <f t="shared" si="13"/>
        <v>40198.559999999998</v>
      </c>
      <c r="N290" s="5">
        <f t="shared" si="14"/>
        <v>1674.9399999999998</v>
      </c>
      <c r="O290" s="15" t="s">
        <v>2321</v>
      </c>
      <c r="P290" s="5" t="s">
        <v>2322</v>
      </c>
      <c r="Q290" s="5" t="s">
        <v>2555</v>
      </c>
      <c r="R290" s="38"/>
    </row>
    <row r="291" spans="1:18">
      <c r="A291" s="5">
        <v>290</v>
      </c>
      <c r="B291" s="5" t="s">
        <v>2323</v>
      </c>
      <c r="C291" s="15" t="s">
        <v>2324</v>
      </c>
      <c r="D291" s="27" t="s">
        <v>2325</v>
      </c>
      <c r="E291" s="5">
        <v>27</v>
      </c>
      <c r="F291" s="5">
        <v>688</v>
      </c>
      <c r="G291" s="9" t="s">
        <v>2550</v>
      </c>
      <c r="H291" s="9">
        <v>2018</v>
      </c>
      <c r="I291" s="9">
        <v>0.83</v>
      </c>
      <c r="J291" s="82">
        <v>45127</v>
      </c>
      <c r="K291" s="82">
        <v>45867</v>
      </c>
      <c r="L291" s="81">
        <f t="shared" si="12"/>
        <v>24</v>
      </c>
      <c r="M291" s="5">
        <f t="shared" si="13"/>
        <v>40198.559999999998</v>
      </c>
      <c r="N291" s="5">
        <f t="shared" si="14"/>
        <v>1674.9399999999998</v>
      </c>
      <c r="O291" s="15" t="s">
        <v>1462</v>
      </c>
      <c r="P291" s="5" t="s">
        <v>968</v>
      </c>
      <c r="Q291" s="5" t="s">
        <v>2555</v>
      </c>
      <c r="R291" s="38"/>
    </row>
    <row r="292" spans="1:18" ht="28.8">
      <c r="A292" s="5">
        <v>291</v>
      </c>
      <c r="B292" s="5" t="s">
        <v>2326</v>
      </c>
      <c r="C292" s="15" t="s">
        <v>2327</v>
      </c>
      <c r="D292" s="27" t="s">
        <v>2328</v>
      </c>
      <c r="E292" s="5">
        <v>27</v>
      </c>
      <c r="F292" s="5">
        <v>689</v>
      </c>
      <c r="G292" s="9" t="s">
        <v>2550</v>
      </c>
      <c r="H292" s="9">
        <v>2018</v>
      </c>
      <c r="I292" s="9">
        <v>0.83</v>
      </c>
      <c r="J292" s="82">
        <v>45127</v>
      </c>
      <c r="K292" s="82">
        <v>45867</v>
      </c>
      <c r="L292" s="81">
        <f t="shared" si="12"/>
        <v>24</v>
      </c>
      <c r="M292" s="5">
        <f t="shared" si="13"/>
        <v>40198.559999999998</v>
      </c>
      <c r="N292" s="5">
        <f t="shared" si="14"/>
        <v>1674.9399999999998</v>
      </c>
      <c r="O292" s="28" t="s">
        <v>2329</v>
      </c>
      <c r="P292" s="5" t="s">
        <v>2330</v>
      </c>
      <c r="Q292" s="5" t="s">
        <v>2554</v>
      </c>
      <c r="R292" s="38"/>
    </row>
    <row r="293" spans="1:18" ht="43.2">
      <c r="A293" s="68">
        <v>292</v>
      </c>
      <c r="B293" s="57" t="s">
        <v>2331</v>
      </c>
      <c r="C293" s="58" t="s">
        <v>2332</v>
      </c>
      <c r="D293" s="59" t="s">
        <v>2333</v>
      </c>
      <c r="E293" s="57">
        <v>27</v>
      </c>
      <c r="F293" s="57">
        <v>690</v>
      </c>
      <c r="G293" s="68" t="s">
        <v>2550</v>
      </c>
      <c r="H293" s="9">
        <v>2018</v>
      </c>
      <c r="I293" s="9">
        <v>0.83</v>
      </c>
      <c r="J293" s="82">
        <v>45127</v>
      </c>
      <c r="K293" s="82">
        <v>45867</v>
      </c>
      <c r="L293" s="81">
        <f t="shared" si="12"/>
        <v>24</v>
      </c>
      <c r="M293" s="5">
        <f t="shared" si="13"/>
        <v>40198.559999999998</v>
      </c>
      <c r="N293" s="5">
        <f t="shared" si="14"/>
        <v>1674.9399999999998</v>
      </c>
      <c r="O293" s="63" t="s">
        <v>2334</v>
      </c>
      <c r="P293" s="57" t="s">
        <v>2335</v>
      </c>
      <c r="Q293" s="5" t="s">
        <v>2554</v>
      </c>
      <c r="R293" s="60"/>
    </row>
    <row r="294" spans="1:18">
      <c r="A294" s="16">
        <v>293</v>
      </c>
      <c r="B294" s="16" t="s">
        <v>2336</v>
      </c>
      <c r="C294" s="30" t="s">
        <v>2337</v>
      </c>
      <c r="D294" s="27" t="s">
        <v>2338</v>
      </c>
      <c r="E294" s="5">
        <v>27</v>
      </c>
      <c r="F294" s="5">
        <v>691</v>
      </c>
      <c r="G294" s="9" t="s">
        <v>2550</v>
      </c>
      <c r="H294" s="9">
        <v>2018</v>
      </c>
      <c r="I294" s="9">
        <v>0.83</v>
      </c>
      <c r="J294" s="82">
        <v>45127</v>
      </c>
      <c r="K294" s="82">
        <v>45867</v>
      </c>
      <c r="L294" s="81">
        <f t="shared" si="12"/>
        <v>24</v>
      </c>
      <c r="M294" s="5">
        <f t="shared" si="13"/>
        <v>40198.559999999998</v>
      </c>
      <c r="N294" s="5">
        <f t="shared" si="14"/>
        <v>1674.9399999999998</v>
      </c>
      <c r="O294" s="15" t="s">
        <v>2339</v>
      </c>
      <c r="P294" s="5" t="s">
        <v>1652</v>
      </c>
      <c r="Q294" s="5" t="s">
        <v>2557</v>
      </c>
      <c r="R294" s="38"/>
    </row>
    <row r="295" spans="1:18" ht="15.6">
      <c r="A295" s="33"/>
      <c r="B295" s="33"/>
      <c r="C295" s="34"/>
      <c r="D295" s="49"/>
      <c r="E295" s="36"/>
      <c r="F295" s="36"/>
      <c r="G295" s="36"/>
      <c r="H295" s="36"/>
      <c r="I295" s="36"/>
      <c r="J295" s="36"/>
      <c r="K295" s="36"/>
      <c r="L295" s="36"/>
      <c r="M295" s="84">
        <f>SUM(M2:M294)</f>
        <v>11778178.080000006</v>
      </c>
      <c r="N295" s="84"/>
      <c r="O295" s="49"/>
      <c r="P295" s="36"/>
    </row>
  </sheetData>
  <autoFilter ref="A1:R294" xr:uid="{00000000-0009-0000-0000-000002000000}"/>
  <pageMargins left="0.7" right="0.7" top="0.75" bottom="0.75" header="0.3" footer="0.3"/>
  <pageSetup scale="44" fitToHeight="0" orientation="portrait" r:id="rId1"/>
  <rowBreaks count="1" manualBreakCount="1">
    <brk id="240" max="9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6"/>
  <sheetViews>
    <sheetView workbookViewId="0">
      <selection activeCell="E3" sqref="E3"/>
    </sheetView>
  </sheetViews>
  <sheetFormatPr defaultRowHeight="14.4"/>
  <cols>
    <col min="1" max="1" width="8.6640625" bestFit="1" customWidth="1"/>
    <col min="2" max="2" width="11.5546875" bestFit="1" customWidth="1"/>
    <col min="3" max="3" width="19.5546875" bestFit="1" customWidth="1"/>
    <col min="4" max="4" width="25.109375" customWidth="1"/>
    <col min="5" max="5" width="7.44140625" bestFit="1" customWidth="1"/>
    <col min="6" max="6" width="20.109375" bestFit="1" customWidth="1"/>
    <col min="7" max="7" width="0" hidden="1" customWidth="1"/>
  </cols>
  <sheetData>
    <row r="1" spans="1:7" ht="61.5" customHeight="1">
      <c r="A1" s="90" t="s">
        <v>2560</v>
      </c>
      <c r="B1" s="91"/>
      <c r="C1" s="91"/>
      <c r="D1" s="91"/>
      <c r="E1" s="91"/>
      <c r="F1" s="92"/>
      <c r="G1" s="72"/>
    </row>
    <row r="2" spans="1:7" ht="21">
      <c r="A2" s="77" t="s">
        <v>2562</v>
      </c>
      <c r="B2" s="70" t="s">
        <v>2555</v>
      </c>
      <c r="C2" s="70" t="s">
        <v>2557</v>
      </c>
      <c r="D2" s="70" t="s">
        <v>2558</v>
      </c>
      <c r="E2" s="70" t="s">
        <v>2559</v>
      </c>
      <c r="F2" s="70" t="s">
        <v>2561</v>
      </c>
      <c r="G2" s="73"/>
    </row>
    <row r="3" spans="1:7" ht="21">
      <c r="A3" s="77" t="s">
        <v>2552</v>
      </c>
      <c r="B3" s="69">
        <v>23</v>
      </c>
      <c r="C3" s="69">
        <v>80</v>
      </c>
      <c r="D3" s="69">
        <v>14</v>
      </c>
      <c r="E3" s="69">
        <f>SUM(B3:D3)</f>
        <v>117</v>
      </c>
      <c r="F3" s="69">
        <v>4720</v>
      </c>
      <c r="G3" s="73">
        <f>F3*E3</f>
        <v>552240</v>
      </c>
    </row>
    <row r="4" spans="1:7" ht="21">
      <c r="A4" s="77" t="s">
        <v>2551</v>
      </c>
      <c r="B4" s="69">
        <v>119</v>
      </c>
      <c r="C4" s="69">
        <v>45</v>
      </c>
      <c r="D4" s="69">
        <v>14</v>
      </c>
      <c r="E4" s="69">
        <f t="shared" ref="E4:E5" si="0">SUM(B4:D4)</f>
        <v>178</v>
      </c>
      <c r="F4" s="69">
        <v>3620</v>
      </c>
      <c r="G4" s="73">
        <f>F4*E4</f>
        <v>644360</v>
      </c>
    </row>
    <row r="5" spans="1:7" ht="21">
      <c r="A5" s="77" t="s">
        <v>2550</v>
      </c>
      <c r="B5" s="69">
        <v>194</v>
      </c>
      <c r="C5" s="69">
        <v>55</v>
      </c>
      <c r="D5" s="69">
        <v>44</v>
      </c>
      <c r="E5" s="69">
        <f t="shared" si="0"/>
        <v>293</v>
      </c>
      <c r="F5" s="69">
        <v>2018</v>
      </c>
      <c r="G5" s="73">
        <f>F5*E5</f>
        <v>591274</v>
      </c>
    </row>
    <row r="6" spans="1:7" ht="21.6" thickBot="1">
      <c r="A6" s="88" t="s">
        <v>2559</v>
      </c>
      <c r="B6" s="89"/>
      <c r="C6" s="89"/>
      <c r="D6" s="89"/>
      <c r="E6" s="74">
        <f>SUM(E3:E5)</f>
        <v>588</v>
      </c>
      <c r="F6" s="75"/>
      <c r="G6" s="76">
        <f>SUM(G3:G5)</f>
        <v>1787874</v>
      </c>
    </row>
  </sheetData>
  <mergeCells count="2">
    <mergeCell ref="A6:D6"/>
    <mergeCell ref="A1:F1"/>
  </mergeCells>
  <pageMargins left="0.7" right="0.7" top="0.75" bottom="0.75" header="0.3" footer="0.3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CAT - 1</vt:lpstr>
      <vt:lpstr>CAT - 2</vt:lpstr>
      <vt:lpstr>CAT-3</vt:lpstr>
      <vt:lpstr>Summary</vt:lpstr>
      <vt:lpstr>'CAT - 1'!Print_Area</vt:lpstr>
      <vt:lpstr>'CAT - 2'!Print_Area</vt:lpstr>
    </vt:vector>
  </TitlesOfParts>
  <Company>XP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XP</dc:creator>
  <cp:lastModifiedBy>Ayaz Ali</cp:lastModifiedBy>
  <cp:lastPrinted>2024-11-14T06:31:06Z</cp:lastPrinted>
  <dcterms:created xsi:type="dcterms:W3CDTF">2013-06-30T12:43:00Z</dcterms:created>
  <dcterms:modified xsi:type="dcterms:W3CDTF">2026-05-14T05:33:08Z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003FD6F5C7CB470C8CA03AF9D87FE0AE</vt:lpwstr>
  </property>
  <property fmtid="{D5CDD505-2E9C-101B-9397-08002B2CF9AE}" pid="3" name="KSOProductBuildVer">
    <vt:lpwstr>1033-11.2.0.11537</vt:lpwstr>
  </property>
</Properties>
</file>